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310d1006504a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рогноз" sheetId="1" r:id="Re592d427d5b445e6"/>
    <x:sheet xmlns:r="http://schemas.openxmlformats.org/officeDocument/2006/relationships" name="Допущения" sheetId="2" r:id="Rfff0865becc04e81"/>
    <x:sheet xmlns:r="http://schemas.openxmlformats.org/officeDocument/2006/relationships" name="Расчет" sheetId="3" r:id="R9e252c7ac45546ad"/>
    <x:sheet xmlns:r="http://schemas.openxmlformats.org/officeDocument/2006/relationships" name="Когорты" sheetId="4" r:id="R81773abc97a942f5"/>
    <x:sheet xmlns:r="http://schemas.openxmlformats.org/officeDocument/2006/relationships" name="Данные" sheetId="5" r:id="R55c8a34727aa44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#,##0.0;(#,##0.0);&quot;–&quot;"/>
    <x:numFmt numFmtId="201" formatCode="0"/>
    <x:numFmt numFmtId="202" formatCode="0.0%"/>
    <x:numFmt numFmtId="203" formatCode="0%"/>
    <x:numFmt numFmtId="204" formatCode="0.000"/>
    <x:numFmt numFmtId="205" formatCode="0.0000%"/>
    <x:numFmt numFmtId="206" formatCode="0.00%"/>
    <x:numFmt numFmtId="207" formatCode="0.00"/>
  </x:numFmts>
  <x:fonts count="12">
    <x:font>
      <x:sz val="11"/>
      <x:name val="Carlito"/>
    </x:font>
    <x:font>
      <x:sz val="11"/>
      <x:name val="Arial"/>
    </x:font>
    <x:font>
      <x:sz val="10"/>
      <x:name val="Arial"/>
    </x:font>
    <x:font>
      <x:b/>
      <x:sz val="15"/>
      <x:color rgb="FFFFFFFF"/>
      <x:name val="Arial"/>
    </x:font>
    <x:font>
      <x:sz val="10"/>
      <x:color rgb="FF526579"/>
      <x:name val="Arial"/>
    </x:font>
    <x:font>
      <x:b/>
      <x:sz val="10"/>
      <x:name val="Arial"/>
    </x:font>
    <x:font>
      <x:sz val="10"/>
      <x:color rgb="FF172B3A"/>
      <x:name val="Arial"/>
    </x:font>
    <x:font>
      <x:sz val="10"/>
      <x:color rgb="FF167044"/>
      <x:name val="Arial"/>
    </x:font>
    <x:font>
      <x:sz val="10"/>
      <x:color rgb="FF1957B5"/>
      <x:name val="Arial"/>
    </x:font>
    <x:font>
      <x:b/>
      <x:sz val="10"/>
      <x:color rgb="FF16354A"/>
      <x:name val="Arial"/>
    </x:font>
    <x:font>
      <x:b/>
      <x:sz val="15"/>
      <x:color rgb="FF172B3A"/>
      <x:name val="Arial"/>
    </x:font>
    <x:font>
      <x:b/>
      <x:sz val="10"/>
      <x:color rgb="FF172B3A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6354A"/>
      </x:patternFill>
    </x:fill>
    <x:fill>
      <x:patternFill patternType="solid">
        <x:fgColor rgb="FFDFEAF0"/>
      </x:patternFill>
    </x:fill>
    <x:fill>
      <x:patternFill patternType="solid">
        <x:fgColor rgb="FFEEF4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0" fontId="2" fillId="2" borderId="0" xfId="0" applyNumberFormat="1" applyFont="1" applyFill="1" applyBorder="1"/>
    <x:xf numFmtId="200" fontId="2" fillId="2" borderId="0" xfId="0" applyNumberFormat="1" applyFont="1" applyFill="1" applyBorder="1"/>
    <x:xf numFmtId="0" fontId="3" fillId="2" borderId="0" xfId="0" applyNumberFormat="1" applyFont="1" applyFill="1" applyBorder="1"/>
    <x:xf numFmtId="200" fontId="3" fillId="2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  <x:xf numFmtId="201" fontId="2" fillId="0" borderId="0" xfId="0" applyNumberFormat="1" applyFont="1" applyFill="1" applyBorder="1"/>
    <x:xf numFmtId="202" fontId="2" fillId="0" borderId="0" xfId="0" applyNumberFormat="1" applyFont="1" applyFill="1" applyBorder="1"/>
    <x:xf numFmtId="0" fontId="2" fillId="3" borderId="0" xfId="0" applyNumberFormat="1" applyFont="1" applyFill="1" applyBorder="1"/>
    <x:xf numFmtId="200" fontId="2" fillId="3" borderId="0" xfId="0" applyNumberFormat="1" applyFont="1" applyFill="1" applyBorder="1"/>
    <x:xf numFmtId="0" fontId="5" fillId="3" borderId="0" xfId="0" applyNumberFormat="1" applyFont="1" applyFill="1" applyBorder="1"/>
    <x:xf numFmtId="20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200" fontId="5" fillId="3" borderId="0" xfId="0" applyNumberFormat="1" applyFont="1" applyFill="1" applyBorder="1" applyAlignment="1">
      <x:alignment wrapText="1"/>
    </x:xf>
    <x:xf numFmtId="200" fontId="6" fillId="0" borderId="0" xfId="0" applyNumberFormat="1" applyFont="1" applyFill="1" applyBorder="1"/>
    <x:xf numFmtId="203" fontId="2" fillId="0" borderId="0" xfId="0" applyNumberFormat="1" applyFont="1" applyFill="1" applyBorder="1"/>
    <x:xf numFmtId="204" fontId="2" fillId="0" borderId="0" xfId="0" applyNumberFormat="1" applyFont="1" applyFill="1" applyBorder="1"/>
    <x:xf numFmtId="205" fontId="2" fillId="0" borderId="0" xfId="0" applyNumberFormat="1" applyFont="1" applyFill="1" applyBorder="1"/>
    <x:xf numFmtId="200" fontId="7" fillId="0" borderId="0" xfId="0" applyNumberFormat="1" applyFont="1" applyFill="1" applyBorder="1"/>
    <x:xf numFmtId="206" fontId="6" fillId="0" borderId="0" xfId="0" applyNumberFormat="1" applyFont="1" applyFill="1" applyBorder="1"/>
    <x:xf numFmtId="206" fontId="2" fillId="0" borderId="0" xfId="0" applyNumberFormat="1" applyFont="1" applyFill="1" applyBorder="1"/>
    <x:xf numFmtId="201" fontId="2" fillId="3" borderId="0" xfId="0" applyNumberFormat="1" applyFont="1" applyFill="1" applyBorder="1"/>
    <x:xf numFmtId="201" fontId="5" fillId="3" borderId="0" xfId="0" applyNumberFormat="1" applyFont="1" applyFill="1" applyBorder="1"/>
    <x:xf numFmtId="201" fontId="5" fillId="3" borderId="0" xfId="0" applyNumberFormat="1" applyFont="1" applyFill="1" applyBorder="1" applyAlignment="1">
      <x:alignment wrapText="1"/>
    </x:xf>
    <x:xf numFmtId="200" fontId="8" fillId="0" borderId="0" xfId="0" applyNumberFormat="1" applyFont="1" applyFill="1" applyBorder="1"/>
    <x:xf numFmtId="203" fontId="8" fillId="0" borderId="0" xfId="0" applyNumberFormat="1" applyFont="1" applyFill="1" applyBorder="1"/>
    <x:xf numFmtId="204" fontId="8" fillId="0" borderId="0" xfId="0" applyNumberFormat="1" applyFont="1" applyFill="1" applyBorder="1"/>
    <x:xf numFmtId="205" fontId="8" fillId="0" borderId="0" xfId="0" applyNumberFormat="1" applyFont="1" applyFill="1" applyBorder="1"/>
    <x:xf numFmtId="202" fontId="8" fillId="0" borderId="0" xfId="0" applyNumberFormat="1" applyFont="1" applyFill="1" applyBorder="1"/>
    <x:xf numFmtId="206" fontId="8" fillId="0" borderId="0" xfId="0" applyNumberFormat="1" applyFont="1" applyFill="1" applyBorder="1"/>
    <x:xf numFmtId="0" fontId="9" fillId="3" borderId="0" xfId="0" applyNumberFormat="1" applyFont="1" applyFill="1" applyBorder="1"/>
    <x:xf numFmtId="200" fontId="9" fillId="3" borderId="0" xfId="0" applyNumberFormat="1" applyFont="1" applyFill="1" applyBorder="1"/>
    <x:xf numFmtId="202" fontId="7" fillId="0" borderId="0" xfId="0" applyNumberFormat="1" applyFont="1" applyFill="1" applyBorder="1"/>
    <x:xf numFmtId="202" fontId="6" fillId="0" borderId="0" xfId="0" applyNumberFormat="1" applyFont="1" applyFill="1" applyBorder="1"/>
    <x:xf numFmtId="0" fontId="2" fillId="4" borderId="0" xfId="0" applyNumberFormat="1" applyFont="1" applyFill="1" applyBorder="1"/>
    <x:xf numFmtId="200" fontId="7" fillId="4" borderId="0" xfId="0" applyNumberFormat="1" applyFont="1" applyFill="1" applyBorder="1"/>
    <x:xf numFmtId="202" fontId="6" fillId="4" borderId="0" xfId="0" applyNumberFormat="1" applyFont="1" applyFill="1" applyBorder="1"/>
    <x:xf numFmtId="200" fontId="6" fillId="4" borderId="0" xfId="0" applyNumberFormat="1" applyFont="1" applyFill="1" applyBorder="1"/>
    <x:xf numFmtId="0" fontId="7" fillId="0" borderId="0" xfId="0" applyNumberFormat="1" applyFont="1" applyFill="1" applyBorder="1"/>
    <x:xf numFmtId="201" fontId="7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200" fontId="2" fillId="0" borderId="0" xfId="0" applyNumberFormat="1" applyFont="1" applyFill="1" applyBorder="1" applyAlignment="1">
      <x:alignment wrapText="1"/>
    </x:xf>
    <x:xf numFmtId="207" fontId="7" fillId="0" borderId="0" xfId="0" applyNumberFormat="1" applyFont="1" applyFill="1" applyBorder="1"/>
    <x:xf numFmtId="0" fontId="10" fillId="2" borderId="0" xfId="0" applyNumberFormat="1" applyFont="1" applyFill="1" applyBorder="1"/>
    <x:xf numFmtId="200" fontId="10" fillId="2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20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201" fontId="6" fillId="0" borderId="0" xfId="0" applyNumberFormat="1" applyFont="1" applyFill="1" applyBorder="1"/>
    <x:xf numFmtId="0" fontId="11" fillId="3" borderId="0" xfId="0" applyNumberFormat="1" applyFont="1" applyFill="1" applyBorder="1"/>
    <x:xf numFmtId="200" fontId="11" fillId="3" borderId="0" xfId="0" applyNumberFormat="1" applyFont="1" applyFill="1" applyBorder="1"/>
    <x:xf numFmtId="207" fontId="6" fillId="0" borderId="0" xfId="0" applyNumberFormat="1" applyFont="1" applyFill="1" applyBorder="1"/>
  </x:cellXfs>
  <x:cellStyles count="1">
    <x:cellStyle name="Normal" xfId="0"/>
  </x:cellStyles>
  <x:dxfs count="7"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f7369d7d38487a" /><Relationship Type="http://schemas.openxmlformats.org/officeDocument/2006/relationships/theme" Target="/xl/theme/theme1.xml" Id="R7b80762806c4409e" /><Relationship Type="http://schemas.openxmlformats.org/officeDocument/2006/relationships/sharedStrings" Target="/xl/sharedStrings.xml" Id="Rf6ba725278a14a2b" /><Relationship Type="http://schemas.openxmlformats.org/officeDocument/2006/relationships/worksheet" Target="/xl/worksheets/sheet1.xml" Id="Re592d427d5b445e6" /><Relationship Type="http://schemas.openxmlformats.org/officeDocument/2006/relationships/worksheet" Target="/xl/worksheets/sheet2.xml" Id="Rfff0865becc04e81" /><Relationship Type="http://schemas.openxmlformats.org/officeDocument/2006/relationships/worksheet" Target="/xl/worksheets/sheet3.xml" Id="R9e252c7ac45546ad" /><Relationship Type="http://schemas.openxmlformats.org/officeDocument/2006/relationships/worksheet" Target="/xl/worksheets/sheet4.xml" Id="R81773abc97a942f5" /><Relationship Type="http://schemas.openxmlformats.org/officeDocument/2006/relationships/worksheet" Target="/xl/worksheets/sheet5.xml" Id="R55c8a34727aa44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6354A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2" customHeight="1">
      <x:c r="A1" s="6" t="str">
        <x:v>Москва • технический прогноз рынка жилья</x:v>
      </x:c>
      <x:c r="B1" s="7"/>
      <x:c r="C1" s="7"/>
      <x:c r="D1" s="7"/>
      <x:c r="E1" s="7"/>
      <x:c r="F1" s="7"/>
      <x:c r="G1" s="7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</x:row>
    <x:row r="2" ht="36" customHeight="1">
      <x:c r="A2" s="51" t="str">
        <x:v>Площади — тыс. м². Потоки — за полный год; портфель и непроданный остаток — на конец года. Распроданность — доля проданной площади в строительстве.</x:v>
      </x:c>
      <x:c r="B2" s="52"/>
      <x:c r="C2" s="52"/>
      <x:c r="D2" s="52"/>
      <x:c r="E2" s="52"/>
      <x:c r="F2" s="52"/>
      <x:c r="G2" s="52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</x:row>
    <x:row r="3" ht="21" customHeight="1">
      <x:c r="A3" s="53"/>
      <x:c r="B3" s="20"/>
      <x:c r="C3" s="20"/>
      <x:c r="D3" s="20"/>
      <x:c r="E3" s="20"/>
      <x:c r="F3" s="20"/>
      <x:c r="G3" s="20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  <x:c r="AA3" s="3"/>
      <x:c r="AB3" s="3"/>
    </x:row>
    <x:row r="4" ht="21" customHeight="1">
      <x:c r="A4" s="53"/>
      <x:c r="B4" s="20" t="str">
        <x:v>23.10.2026</x:v>
      </x:c>
      <x:c r="C4" s="54" t="n">
        <x:v>2026</x:v>
      </x:c>
      <x:c r="D4" s="54" t="n">
        <x:v>2027</x:v>
      </x:c>
      <x:c r="E4" s="54" t="n">
        <x:v>2028</x:v>
      </x:c>
      <x:c r="F4" s="54" t="n">
        <x:v>2029</x:v>
      </x:c>
      <x:c r="G4" s="54" t="n">
        <x:v>2030</x:v>
      </x:c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</x:row>
    <x:row r="5" ht="24" customHeight="1">
      <x:c r="A5" s="55" t="str">
        <x:v>Все классы</x:v>
      </x:c>
      <x:c r="B5" s="56"/>
      <x:c r="C5" s="56"/>
      <x:c r="D5" s="56"/>
      <x:c r="E5" s="56"/>
      <x:c r="F5" s="56"/>
      <x:c r="G5" s="56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  <x:c r="AA5" s="3"/>
      <x:c r="AB5" s="3"/>
    </x:row>
    <x:row r="6" ht="21" customHeight="1">
      <x:c r="A6" s="53" t="str">
        <x:v>Запуски</x:v>
      </x:c>
      <x:c r="B6" s="20" t="str">
        <x:v>—</x:v>
      </x:c>
      <x:c r="C6" s="20" t="n">
        <x:f>SUM('Расчет'!B6,'Расчет'!B34,'Расчет'!B62)</x:f>
        <x:v>2534</x:v>
      </x:c>
      <x:c r="D6" s="20" t="n">
        <x:f>SUM('Расчет'!C6,'Расчет'!C34,'Расчет'!C62)</x:f>
        <x:v>2954.8810000000003</x:v>
      </x:c>
      <x:c r="E6" s="20" t="n">
        <x:f>SUM('Расчет'!D6,'Расчет'!D34,'Расчет'!D62)</x:f>
        <x:v>3333.0755000000004</x:v>
      </x:c>
      <x:c r="F6" s="20" t="n">
        <x:f>SUM('Расчет'!E6,'Расчет'!E34,'Расчет'!E62)</x:f>
        <x:v>3575.8885</x:v>
      </x:c>
      <x:c r="G6" s="20" t="n">
        <x:f>SUM('Расчет'!F6,'Расчет'!F34,'Расчет'!F62)</x:f>
        <x:v>3699.3057499999995</x:v>
      </x:c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  <x:c r="AA6" s="3"/>
      <x:c r="AB6" s="3"/>
    </x:row>
    <x:row r="7" ht="21" customHeight="1">
      <x:c r="A7" s="53" t="str">
        <x:v>Продажи</x:v>
      </x:c>
      <x:c r="B7" s="20" t="str">
        <x:v>—</x:v>
      </x:c>
      <x:c r="C7" s="20" t="n">
        <x:f>SUM('Расчет'!B16,'Расчет'!B44,'Расчет'!B72)</x:f>
        <x:v>2652</x:v>
      </x:c>
      <x:c r="D7" s="20" t="n">
        <x:f>SUM('Расчет'!C16,'Расчет'!C44,'Расчет'!C72)</x:f>
        <x:v>2736</x:v>
      </x:c>
      <x:c r="E7" s="20" t="n">
        <x:f>SUM('Расчет'!D16,'Расчет'!D44,'Расчет'!D72)</x:f>
        <x:v>3140.0000000000005</x:v>
      </x:c>
      <x:c r="F7" s="20" t="n">
        <x:f>SUM('Расчет'!E16,'Расчет'!E44,'Расчет'!E72)</x:f>
        <x:v>3320</x:v>
      </x:c>
      <x:c r="G7" s="20" t="n">
        <x:f>SUM('Расчет'!F16,'Расчет'!F44,'Расчет'!F72)</x:f>
        <x:v>3327</x:v>
      </x:c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  <x:c r="AA7" s="3"/>
      <x:c r="AB7" s="3"/>
    </x:row>
    <x:row r="8" ht="21" customHeight="1">
      <x:c r="A8" s="53" t="str">
        <x:v>Вводы</x:v>
      </x:c>
      <x:c r="B8" s="20" t="str">
        <x:v>—</x:v>
      </x:c>
      <x:c r="C8" s="20" t="n">
        <x:f>SUM('Расчет'!B20,'Расчет'!B48,'Расчет'!B76)</x:f>
        <x:v>5305.061637999999</x:v>
      </x:c>
      <x:c r="D8" s="20" t="n">
        <x:f>SUM('Расчет'!C20,'Расчет'!C48,'Расчет'!C76)</x:f>
        <x:v>5553.400873580049</x:v>
      </x:c>
      <x:c r="E8" s="20" t="n">
        <x:f>SUM('Расчет'!D20,'Расчет'!D48,'Расчет'!D76)</x:f>
        <x:v>4585.165371062958</x:v>
      </x:c>
      <x:c r="F8" s="20" t="n">
        <x:f>SUM('Расчет'!E20,'Расчет'!E48,'Расчет'!E76)</x:f>
        <x:v>3525.3054058340635</x:v>
      </x:c>
      <x:c r="G8" s="20" t="n">
        <x:f>SUM('Расчет'!F20,'Расчет'!F48,'Расчет'!F76)</x:f>
        <x:v>2818.044167511682</x:v>
      </x:c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  <x:c r="AA8" s="3"/>
      <x:c r="AB8" s="3"/>
    </x:row>
    <x:row r="9" ht="21" customHeight="1">
      <x:c r="A9" s="53" t="str">
        <x:v>Портфель</x:v>
      </x:c>
      <x:c r="B9" s="20" t="n">
        <x:f>SUM('Расчет'!B9,'Расчет'!B37,'Расчет'!B65)</x:f>
        <x:v>15692.979730000003</x:v>
      </x:c>
      <x:c r="C9" s="20" t="n">
        <x:f>SUM('Расчет'!B22,'Расчет'!B50,'Расчет'!B78)</x:f>
        <x:v>13960.591412000002</x:v>
      </x:c>
      <x:c r="D9" s="20" t="n">
        <x:f>SUM('Расчет'!C22,'Расчет'!C50,'Расчет'!C78)</x:f>
        <x:v>11346.389794946861</x:v>
      </x:c>
      <x:c r="E9" s="20" t="n">
        <x:f>SUM('Расчет'!D22,'Расчет'!D50,'Расчет'!D78)</x:f>
        <x:v>10081.554677722117</x:v>
      </x:c>
      <x:c r="F9" s="20" t="n">
        <x:f>SUM('Расчет'!E22,'Расчет'!E50,'Расчет'!E78)</x:f>
        <x:v>10120.813297902654</x:v>
      </x:c>
      <x:c r="G9" s="20" t="n">
        <x:f>SUM('Расчет'!F22,'Расчет'!F50,'Расчет'!F78)</x:f>
        <x:v>10990.706307728618</x:v>
      </x:c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  <x:c r="V9" s="3"/>
      <x:c r="W9" s="3"/>
      <x:c r="X9" s="3"/>
      <x:c r="Y9" s="3"/>
      <x:c r="Z9" s="3"/>
      <x:c r="AA9" s="3"/>
      <x:c r="AB9" s="3"/>
    </x:row>
    <x:row r="10" ht="21" customHeight="1">
      <x:c r="A10" s="53" t="str">
        <x:v>Текущая распроданность</x:v>
      </x:c>
      <x:c r="B10" s="39" t="n">
        <x:f>1-B11/B9</x:f>
        <x:v>0.4783353122957229</x:v>
      </x:c>
      <x:c r="C10" s="39" t="n">
        <x:f>1-C11/C9</x:f>
        <x:v>0.4501467600103559</x:v>
      </x:c>
      <x:c r="D10" s="39" t="n">
        <x:f>1-D11/D9</x:f>
        <x:v>0.46074567929977506</x:v>
      </x:c>
      <x:c r="E10" s="39" t="n">
        <x:f>1-E11/E9</x:f>
        <x:v>0.4956298286464891</x:v>
      </x:c>
      <x:c r="F10" s="39" t="n">
        <x:f>1-F11/F9</x:f>
        <x:v>0.5095353566965815</x:v>
      </x:c>
      <x:c r="G10" s="39" t="n">
        <x:f>1-G11/G9</x:f>
        <x:v>0.5233179234495943</x:v>
      </x:c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  <x:c r="AA10" s="3"/>
      <x:c r="AB10" s="3"/>
    </x:row>
    <x:row r="11" ht="21" customHeight="1">
      <x:c r="A11" s="53" t="str">
        <x:v>Непроданный остаток</x:v>
      </x:c>
      <x:c r="B11" s="20" t="n">
        <x:f>SUM('Расчет'!B11,'Расчет'!B39,'Расчет'!B67)</x:f>
        <x:v>8186.4733700000015</x:v>
      </x:c>
      <x:c r="C11" s="20" t="n">
        <x:f>SUM('Расчет'!B25,'Расчет'!B53,'Расчет'!B81)</x:f>
        <x:v>7676.276420059801</x:v>
      </x:c>
      <x:c r="D11" s="20" t="n">
        <x:f>SUM('Расчет'!C25,'Расчет'!C53,'Расчет'!C81)</x:f>
        <x:v>6118.589721274035</x:v>
      </x:c>
      <x:c r="E11" s="20" t="n">
        <x:f>SUM('Расчет'!D25,'Расчет'!D53,'Расчет'!D81)</x:f>
        <x:v>5084.8354603124935</x:v>
      </x:c>
      <x:c r="F11" s="20" t="n">
        <x:f>SUM('Расчет'!E25,'Расчет'!E53,'Расчет'!E81)</x:f>
        <x:v>4963.90108409632</x:v>
      </x:c>
      <x:c r="G11" s="20" t="n">
        <x:f>SUM('Расчет'!F25,'Расчет'!F53,'Расчет'!F81)</x:f>
        <x:v>5239.07270552372</x:v>
      </x:c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  <x:c r="V11" s="3"/>
      <x:c r="W11" s="3"/>
      <x:c r="X11" s="3"/>
      <x:c r="Y11" s="3"/>
      <x:c r="Z11" s="3"/>
      <x:c r="AA11" s="3"/>
      <x:c r="AB11" s="3"/>
    </x:row>
    <x:row r="12" ht="21" customHeight="1">
      <x:c r="A12" s="53"/>
      <x:c r="B12" s="20"/>
      <x:c r="C12" s="20"/>
      <x:c r="D12" s="20"/>
      <x:c r="E12" s="20"/>
      <x:c r="F12" s="20"/>
      <x:c r="G12" s="20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"/>
      <x:c r="T12" s="3"/>
      <x:c r="U12" s="3"/>
      <x:c r="V12" s="3"/>
      <x:c r="W12" s="3"/>
      <x:c r="X12" s="3"/>
      <x:c r="Y12" s="3"/>
      <x:c r="Z12" s="3"/>
      <x:c r="AA12" s="3"/>
      <x:c r="AB12" s="3"/>
    </x:row>
    <x:row r="13" ht="21" customHeight="1">
      <x:c r="A13" s="53"/>
      <x:c r="B13" s="20"/>
      <x:c r="C13" s="20"/>
      <x:c r="D13" s="20"/>
      <x:c r="E13" s="20"/>
      <x:c r="F13" s="20"/>
      <x:c r="G13" s="20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  <x:c r="AA13" s="3"/>
      <x:c r="AB13" s="3"/>
    </x:row>
    <x:row r="14" ht="21" customHeight="1">
      <x:c r="A14" s="53"/>
      <x:c r="B14" s="20"/>
      <x:c r="C14" s="20"/>
      <x:c r="D14" s="20"/>
      <x:c r="E14" s="20"/>
      <x:c r="F14" s="20"/>
      <x:c r="G14" s="20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  <x:c r="AA14" s="3"/>
      <x:c r="AB14" s="3"/>
    </x:row>
    <x:row r="15" ht="24" customHeight="1">
      <x:c r="A15" s="55" t="str">
        <x:v>Эконом/комфорт</x:v>
      </x:c>
      <x:c r="B15" s="56"/>
      <x:c r="C15" s="56"/>
      <x:c r="D15" s="56"/>
      <x:c r="E15" s="56"/>
      <x:c r="F15" s="56"/>
      <x:c r="G15" s="56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  <x:c r="AA15" s="3"/>
      <x:c r="AB15" s="3"/>
    </x:row>
    <x:row r="16" ht="21" customHeight="1">
      <x:c r="A16" s="53" t="str">
        <x:v>Запуски</x:v>
      </x:c>
      <x:c r="B16" s="20" t="str">
        <x:v>—</x:v>
      </x:c>
      <x:c r="C16" s="20" t="n">
        <x:f>'Расчет'!B6</x:f>
        <x:v>907.9178239439332</x:v>
      </x:c>
      <x:c r="D16" s="20" t="n">
        <x:f>'Расчет'!C6</x:f>
        <x:v>1089.1313551696924</x:v>
      </x:c>
      <x:c r="E16" s="20" t="n">
        <x:f>'Расчет'!D6</x:f>
        <x:v>1228.5290122336228</x:v>
      </x:c>
      <x:c r="F16" s="20" t="n">
        <x:f>'Расчет'!E6</x:f>
        <x:v>1318.026779400158</x:v>
      </x:c>
      <x:c r="G16" s="20" t="n">
        <x:f>'Расчет'!F6</x:f>
        <x:v>1363.5167997237568</x:v>
      </x:c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  <x:c r="AA16" s="3"/>
      <x:c r="AB16" s="3"/>
    </x:row>
    <x:row r="17" ht="21" customHeight="1">
      <x:c r="A17" s="53" t="str">
        <x:v>Продажи</x:v>
      </x:c>
      <x:c r="B17" s="20" t="str">
        <x:v>—</x:v>
      </x:c>
      <x:c r="C17" s="20" t="n">
        <x:f>'Расчет'!B16</x:f>
        <x:v>1229.9856894470174</x:v>
      </x:c>
      <x:c r="D17" s="20" t="n">
        <x:f>'Расчет'!C16</x:f>
        <x:v>1120.2693363347541</x:v>
      </x:c>
      <x:c r="E17" s="20" t="n">
        <x:f>'Расчет'!D16</x:f>
        <x:v>1178.5174818178346</x:v>
      </x:c>
      <x:c r="F17" s="20" t="n">
        <x:f>'Расчет'!E16</x:f>
        <x:v>1110.150013627412</x:v>
      </x:c>
      <x:c r="G17" s="20" t="n">
        <x:f>'Расчет'!F16</x:f>
        <x:v>1069.8592681651053</x:v>
      </x:c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  <x:c r="AA17" s="3"/>
      <x:c r="AB17" s="3"/>
    </x:row>
    <x:row r="18" ht="21" customHeight="1">
      <x:c r="A18" s="53" t="str">
        <x:v>Вводы</x:v>
      </x:c>
      <x:c r="B18" s="20" t="str">
        <x:v>—</x:v>
      </x:c>
      <x:c r="C18" s="20" t="n">
        <x:f>'Расчет'!B20</x:f>
        <x:v>3038.5595359999998</x:v>
      </x:c>
      <x:c r="D18" s="20" t="n">
        <x:f>'Расчет'!C20</x:f>
        <x:v>2078.1556760070584</x:v>
      </x:c>
      <x:c r="E18" s="20" t="n">
        <x:f>'Расчет'!D20</x:f>
        <x:v>1952.162518948792</x:v>
      </x:c>
      <x:c r="F18" s="20" t="n">
        <x:f>'Расчет'!E20</x:f>
        <x:v>1335.6665639105404</x:v>
      </x:c>
      <x:c r="G18" s="20" t="n">
        <x:f>'Расчет'!F20</x:f>
        <x:v>1185.576267035492</x:v>
      </x:c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  <x:c r="AA18" s="3"/>
      <x:c r="AB18" s="3"/>
    </x:row>
    <x:row r="19" ht="21" customHeight="1">
      <x:c r="A19" s="53" t="str">
        <x:v>Портфель</x:v>
      </x:c>
      <x:c r="B19" s="20" t="n">
        <x:f>'Расчет'!B9</x:f>
        <x:v>5829.285480000001</x:v>
      </x:c>
      <x:c r="C19" s="20" t="n">
        <x:f>'Расчет'!B22</x:f>
        <x:v>4689.001777943934</x:v>
      </x:c>
      <x:c r="D19" s="20" t="n">
        <x:f>'Расчет'!C22</x:f>
        <x:v>3694.7103648425978</x:v>
      </x:c>
      <x:c r="E19" s="20" t="n">
        <x:f>'Расчет'!D22</x:f>
        <x:v>2966.9266399569415</x:v>
      </x:c>
      <x:c r="F19" s="20" t="n">
        <x:f>'Расчет'!E22</x:f>
        <x:v>2945.9541468887187</x:v>
      </x:c>
      <x:c r="G19" s="20" t="n">
        <x:f>'Расчет'!F22</x:f>
        <x:v>3120.58552913689</x:v>
      </x:c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  <x:c r="AA19" s="3"/>
      <x:c r="AB19" s="3"/>
    </x:row>
    <x:row r="20" ht="21" customHeight="1">
      <x:c r="A20" s="53" t="str">
        <x:v>Текущая распроданность</x:v>
      </x:c>
      <x:c r="B20" s="39" t="n">
        <x:f>1-B21/B19</x:f>
        <x:v>0.5954494512078692</x:v>
      </x:c>
      <x:c r="C20" s="39" t="n">
        <x:f>'Расчет'!B24</x:f>
        <x:v>0.5599141391862956</x:v>
      </x:c>
      <x:c r="D20" s="39" t="n">
        <x:f>'Расчет'!C24</x:f>
        <x:v>0.5770689200750256</x:v>
      </x:c>
      <x:c r="E20" s="39" t="n">
        <x:f>'Расчет'!D24</x:f>
        <x:v>0.6354923070578227</x:v>
      </x:c>
      <x:c r="F20" s="39" t="n">
        <x:f>'Расчет'!E24</x:f>
        <x:v>0.621497240800141</x:v>
      </x:c>
      <x:c r="G20" s="39" t="n">
        <x:f>'Расчет'!F24</x:f>
        <x:v>0.5784144501361399</x:v>
      </x:c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  <x:c r="AA20" s="3"/>
      <x:c r="AB20" s="3"/>
    </x:row>
    <x:row r="21" ht="21" customHeight="1">
      <x:c r="A21" s="53" t="str">
        <x:v>Непроданный остаток</x:v>
      </x:c>
      <x:c r="B21" s="20" t="n">
        <x:f>'Расчет'!B11</x:f>
        <x:v>2358.2406400000004</x:v>
      </x:c>
      <x:c r="C21" s="20" t="n">
        <x:f>'Расчет'!B25</x:f>
        <x:v>2063.5633838034464</x:v>
      </x:c>
      <x:c r="D21" s="20" t="n">
        <x:f>'Расчет'!C25</x:f>
        <x:v>1562.6078446128759</x:v>
      </x:c>
      <x:c r="E21" s="20" t="n">
        <x:f>'Расчет'!D25</x:f>
        <x:v>1081.4675846593907</x:v>
      </x:c>
      <x:c r="F21" s="20" t="n">
        <x:f>'Расчет'!E25</x:f>
        <x:v>1115.0517730736467</x:v>
      </x:c>
      <x:c r="G21" s="20" t="n">
        <x:f>'Расчет'!F25</x:f>
        <x:v>1315.5937661983805</x:v>
      </x:c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  <x:c r="AA21" s="3"/>
      <x:c r="AB21" s="3"/>
    </x:row>
    <x:row r="22" ht="21" customHeight="1">
      <x:c r="A22" s="53"/>
      <x:c r="B22" s="20"/>
      <x:c r="C22" s="20"/>
      <x:c r="D22" s="20"/>
      <x:c r="E22" s="20"/>
      <x:c r="F22" s="20"/>
      <x:c r="G22" s="20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  <x:c r="AA22" s="3"/>
      <x:c r="AB22" s="3"/>
    </x:row>
    <x:row r="23" ht="21" customHeight="1">
      <x:c r="A23" s="53"/>
      <x:c r="B23" s="20"/>
      <x:c r="C23" s="20"/>
      <x:c r="D23" s="20"/>
      <x:c r="E23" s="20"/>
      <x:c r="F23" s="20"/>
      <x:c r="G23" s="20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/>
      <x:c r="V23" s="3"/>
      <x:c r="W23" s="3"/>
      <x:c r="X23" s="3"/>
      <x:c r="Y23" s="3"/>
      <x:c r="Z23" s="3"/>
      <x:c r="AA23" s="3"/>
      <x:c r="AB23" s="3"/>
    </x:row>
    <x:row r="24" ht="21" customHeight="1">
      <x:c r="A24" s="53"/>
      <x:c r="B24" s="20"/>
      <x:c r="C24" s="20"/>
      <x:c r="D24" s="20"/>
      <x:c r="E24" s="20"/>
      <x:c r="F24" s="20"/>
      <x:c r="G24" s="20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/>
      <x:c r="V24" s="3"/>
      <x:c r="W24" s="3"/>
      <x:c r="X24" s="3"/>
      <x:c r="Y24" s="3"/>
      <x:c r="Z24" s="3"/>
      <x:c r="AA24" s="3"/>
      <x:c r="AB24" s="3"/>
    </x:row>
    <x:row r="25" ht="24" customHeight="1">
      <x:c r="A25" s="55" t="str">
        <x:v>Бизнес</x:v>
      </x:c>
      <x:c r="B25" s="56"/>
      <x:c r="C25" s="56"/>
      <x:c r="D25" s="56"/>
      <x:c r="E25" s="56"/>
      <x:c r="F25" s="56"/>
      <x:c r="G25" s="56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  <x:c r="W25" s="3"/>
      <x:c r="X25" s="3"/>
      <x:c r="Y25" s="3"/>
      <x:c r="Z25" s="3"/>
      <x:c r="AA25" s="3"/>
      <x:c r="AB25" s="3"/>
    </x:row>
    <x:row r="26" ht="21" customHeight="1">
      <x:c r="A26" s="53" t="str">
        <x:v>Запуски</x:v>
      </x:c>
      <x:c r="B26" s="20" t="str">
        <x:v>—</x:v>
      </x:c>
      <x:c r="C26" s="20" t="n">
        <x:f>'Расчет'!B34</x:f>
        <x:v>803.7462660560672</x:v>
      </x:c>
      <x:c r="D26" s="20" t="n">
        <x:f>'Расчет'!C34</x:f>
        <x:v>991.1794988161012</x:v>
      </x:c>
      <x:c r="E26" s="20" t="n">
        <x:f>'Расчет'!D34</x:f>
        <x:v>1118.040321625888</x:v>
      </x:c>
      <x:c r="F26" s="20" t="n">
        <x:f>'Расчет'!E34</x:f>
        <x:v>1199.4890390686662</x:v>
      </x:c>
      <x:c r="G26" s="20" t="n">
        <x:f>'Расчет'!F34</x:f>
        <x:v>1240.8878798342541</x:v>
      </x:c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/>
      <x:c r="X26" s="3"/>
      <x:c r="Y26" s="3"/>
      <x:c r="Z26" s="3"/>
      <x:c r="AA26" s="3"/>
      <x:c r="AB26" s="3"/>
    </x:row>
    <x:row r="27" ht="21" customHeight="1">
      <x:c r="A27" s="53" t="str">
        <x:v>Продажи</x:v>
      </x:c>
      <x:c r="B27" s="20" t="str">
        <x:v>—</x:v>
      </x:c>
      <x:c r="C27" s="20" t="n">
        <x:f>'Расчет'!B44</x:f>
        <x:v>1008.5433278731024</x:v>
      </x:c>
      <x:c r="D27" s="20" t="n">
        <x:f>'Расчет'!C44</x:f>
        <x:v>1073.0263328663427</x:v>
      </x:c>
      <x:c r="E27" s="20" t="n">
        <x:f>'Расчет'!D44</x:f>
        <x:v>1239.725479495054</x:v>
      </x:c>
      <x:c r="F27" s="20" t="n">
        <x:f>'Расчет'!E44</x:f>
        <x:v>1301.722995384525</x:v>
      </x:c>
      <x:c r="G27" s="20" t="n">
        <x:f>'Расчет'!F44</x:f>
        <x:v>1276.3027191526087</x:v>
      </x:c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  <x:c r="AA27" s="3"/>
      <x:c r="AB27" s="3"/>
    </x:row>
    <x:row r="28" ht="21" customHeight="1">
      <x:c r="A28" s="53" t="str">
        <x:v>Вводы</x:v>
      </x:c>
      <x:c r="B28" s="20" t="str">
        <x:v>—</x:v>
      </x:c>
      <x:c r="C28" s="20" t="n">
        <x:f>'Расчет'!B48</x:f>
        <x:v>1587.030134</x:v>
      </x:c>
      <x:c r="D28" s="20" t="n">
        <x:f>'Расчет'!C48</x:f>
        <x:v>2080.5938408729903</x:v>
      </x:c>
      <x:c r="E28" s="20" t="n">
        <x:f>'Расчет'!D48</x:f>
        <x:v>1698.7501922688718</x:v>
      </x:c>
      <x:c r="F28" s="20" t="n">
        <x:f>'Расчет'!E48</x:f>
        <x:v>1314.7732374552054</x:v>
      </x:c>
      <x:c r="G28" s="20" t="n">
        <x:f>'Расчет'!F48</x:f>
        <x:v>867.5117428637762</x:v>
      </x:c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  <x:c r="AA28" s="3"/>
      <x:c r="AB28" s="3"/>
    </x:row>
    <x:row r="29" ht="21" customHeight="1">
      <x:c r="A29" s="53" t="str">
        <x:v>Портфель</x:v>
      </x:c>
      <x:c r="B29" s="20" t="n">
        <x:f>'Расчет'!B37</x:f>
        <x:v>5789.80108</x:v>
      </x:c>
      <x:c r="C29" s="20" t="n">
        <x:f>'Расчет'!B50</x:f>
        <x:v>5566.851432056067</x:v>
      </x:c>
      <x:c r="D29" s="20" t="n">
        <x:f>'Расчет'!C50</x:f>
        <x:v>4471.183921094365</x:v>
      </x:c>
      <x:c r="E29" s="20" t="n">
        <x:f>'Расчет'!D50</x:f>
        <x:v>3885.4516300393543</x:v>
      </x:c>
      <x:c r="F29" s="20" t="n">
        <x:f>'Расчет'!E50</x:f>
        <x:v>3765.8029563994955</x:v>
      </x:c>
      <x:c r="G29" s="20" t="n">
        <x:f>'Расчет'!F50</x:f>
        <x:v>4134.949017853137</x:v>
      </x:c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  <x:c r="AA29" s="3"/>
      <x:c r="AB29" s="3"/>
    </x:row>
    <x:row r="30" ht="21" customHeight="1">
      <x:c r="A30" s="53" t="str">
        <x:v>Текущая распроданность</x:v>
      </x:c>
      <x:c r="B30" s="39" t="n">
        <x:f>1-B31/B29</x:f>
        <x:v>0.47107710995832686</x:v>
      </x:c>
      <x:c r="C30" s="39" t="n">
        <x:f>'Расчет'!B52</x:f>
        <x:v>0.4508860267074069</x:v>
      </x:c>
      <x:c r="D30" s="39" t="n">
        <x:f>'Расчет'!C52</x:f>
        <x:v>0.4700183974468754</x:v>
      </x:c>
      <x:c r="E30" s="39" t="n">
        <x:f>'Расчет'!D52</x:f>
        <x:v>0.5192156746657444</x:v>
      </x:c>
      <x:c r="F30" s="39" t="n">
        <x:f>'Расчет'!E52</x:f>
        <x:v>0.5316308051928165</x:v>
      </x:c>
      <x:c r="G30" s="39" t="n">
        <x:f>'Расчет'!F52</x:f>
        <x:v>0.5824362222109577</x:v>
      </x:c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  <x:c r="AA30" s="3"/>
      <x:c r="AB30" s="3"/>
    </x:row>
    <x:row r="31" ht="21" customHeight="1">
      <x:c r="A31" s="53" t="str">
        <x:v>Непроданный остаток</x:v>
      </x:c>
      <x:c r="B31" s="20" t="n">
        <x:f>'Расчет'!B39</x:f>
        <x:v>3062.3583200000003</x:v>
      </x:c>
      <x:c r="C31" s="20" t="n">
        <x:f>'Расчет'!B53</x:f>
        <x:v>3056.8359085858688</x:v>
      </x:c>
      <x:c r="D31" s="20" t="n">
        <x:f>'Расчет'!C53</x:f>
        <x:v>2369.645219811355</x:v>
      </x:c>
      <x:c r="E31" s="20" t="n">
        <x:f>'Расчет'!D53</x:f>
        <x:v>1868.064240567355</x:v>
      </x:c>
      <x:c r="F31" s="20" t="n">
        <x:f>'Расчет'!E53</x:f>
        <x:v>1763.7860984913432</x:v>
      </x:c>
      <x:c r="G31" s="20" t="n">
        <x:f>'Расчет'!F53</x:f>
        <x:v>1726.604932859846</x:v>
      </x:c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  <x:c r="AA31" s="3"/>
      <x:c r="AB31" s="3"/>
    </x:row>
    <x:row r="32" ht="21" customHeight="1">
      <x:c r="A32" s="53"/>
      <x:c r="B32" s="20"/>
      <x:c r="C32" s="20"/>
      <x:c r="D32" s="20"/>
      <x:c r="E32" s="20"/>
      <x:c r="F32" s="20"/>
      <x:c r="G32" s="20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  <x:c r="AA32" s="3"/>
      <x:c r="AB32" s="3"/>
    </x:row>
    <x:row r="33" ht="21" customHeight="1">
      <x:c r="A33" s="53"/>
      <x:c r="B33" s="20"/>
      <x:c r="C33" s="20"/>
      <x:c r="D33" s="20"/>
      <x:c r="E33" s="20"/>
      <x:c r="F33" s="20"/>
      <x:c r="G33" s="20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  <x:c r="AA33" s="3"/>
      <x:c r="AB33" s="3"/>
    </x:row>
    <x:row r="34" ht="21" customHeight="1">
      <x:c r="A34" s="53"/>
      <x:c r="B34" s="20"/>
      <x:c r="C34" s="20"/>
      <x:c r="D34" s="20"/>
      <x:c r="E34" s="20"/>
      <x:c r="F34" s="20"/>
      <x:c r="G34" s="20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  <x:c r="AA34" s="3"/>
      <x:c r="AB34" s="3"/>
    </x:row>
    <x:row r="35" ht="24" customHeight="1">
      <x:c r="A35" s="55" t="str">
        <x:v>Элитный</x:v>
      </x:c>
      <x:c r="B35" s="56"/>
      <x:c r="C35" s="56"/>
      <x:c r="D35" s="56"/>
      <x:c r="E35" s="56"/>
      <x:c r="F35" s="56"/>
      <x:c r="G35" s="56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  <x:c r="AA35" s="3"/>
      <x:c r="AB35" s="3"/>
    </x:row>
    <x:row r="36" ht="21" customHeight="1">
      <x:c r="A36" s="53" t="str">
        <x:v>Запуски</x:v>
      </x:c>
      <x:c r="B36" s="20" t="str">
        <x:v>—</x:v>
      </x:c>
      <x:c r="C36" s="20" t="n">
        <x:f>'Расчет'!B62</x:f>
        <x:v>822.3359099999999</x:v>
      </x:c>
      <x:c r="D36" s="20" t="n">
        <x:f>'Расчет'!C62</x:f>
        <x:v>874.5701460142068</x:v>
      </x:c>
      <x:c r="E36" s="20" t="n">
        <x:f>'Расчет'!D62</x:f>
        <x:v>986.5061661404893</x:v>
      </x:c>
      <x:c r="F36" s="20" t="n">
        <x:f>'Расчет'!E62</x:f>
        <x:v>1058.3726815311759</x:v>
      </x:c>
      <x:c r="G36" s="20" t="n">
        <x:f>'Расчет'!F62</x:f>
        <x:v>1094.9010704419888</x:v>
      </x:c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  <x:c r="AA36" s="3"/>
      <x:c r="AB36" s="3"/>
    </x:row>
    <x:row r="37" ht="21" customHeight="1">
      <x:c r="A37" s="53" t="str">
        <x:v>Продажи</x:v>
      </x:c>
      <x:c r="B37" s="20" t="str">
        <x:v>—</x:v>
      </x:c>
      <x:c r="C37" s="20" t="n">
        <x:f>'Расчет'!B72</x:f>
        <x:v>413.47098267988025</x:v>
      </x:c>
      <x:c r="D37" s="20" t="n">
        <x:f>'Расчет'!C72</x:f>
        <x:v>542.7043307989031</x:v>
      </x:c>
      <x:c r="E37" s="20" t="n">
        <x:f>'Расчет'!D72</x:f>
        <x:v>721.7570386871115</x:v>
      </x:c>
      <x:c r="F37" s="20" t="n">
        <x:f>'Расчет'!E72</x:f>
        <x:v>908.1269909880632</x:v>
      </x:c>
      <x:c r="G37" s="20" t="n">
        <x:f>'Расчет'!F72</x:f>
        <x:v>980.8380126822857</x:v>
      </x:c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  <x:c r="AA37" s="3"/>
      <x:c r="AB37" s="3"/>
    </x:row>
    <x:row r="38" ht="21" customHeight="1">
      <x:c r="A38" s="53" t="str">
        <x:v>Вводы</x:v>
      </x:c>
      <x:c r="B38" s="20" t="str">
        <x:v>—</x:v>
      </x:c>
      <x:c r="C38" s="20" t="n">
        <x:f>'Расчет'!B76</x:f>
        <x:v>679.4719679999998</x:v>
      </x:c>
      <x:c r="D38" s="20" t="n">
        <x:f>'Расчет'!C76</x:f>
        <x:v>1394.6513566999997</x:v>
      </x:c>
      <x:c r="E38" s="20" t="n">
        <x:f>'Расчет'!D76</x:f>
        <x:v>934.2526598452941</x:v>
      </x:c>
      <x:c r="F38" s="20" t="n">
        <x:f>'Расчет'!E76</x:f>
        <x:v>874.8656044683181</x:v>
      </x:c>
      <x:c r="G38" s="20" t="n">
        <x:f>'Расчет'!F76</x:f>
        <x:v>764.9561576124137</x:v>
      </x:c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  <x:c r="AA38" s="3"/>
      <x:c r="AB38" s="3"/>
    </x:row>
    <x:row r="39" ht="21" customHeight="1">
      <x:c r="A39" s="53" t="str">
        <x:v>Портфель</x:v>
      </x:c>
      <x:c r="B39" s="20" t="n">
        <x:f>'Расчет'!B65</x:f>
        <x:v>4073.8931700000003</x:v>
      </x:c>
      <x:c r="C39" s="20" t="n">
        <x:f>'Расчет'!B78</x:f>
        <x:v>3704.7382020000005</x:v>
      </x:c>
      <x:c r="D39" s="20" t="n">
        <x:f>'Расчет'!C78</x:f>
        <x:v>3180.4955090098974</x:v>
      </x:c>
      <x:c r="E39" s="20" t="n">
        <x:f>'Расчет'!D78</x:f>
        <x:v>3229.1764077258217</x:v>
      </x:c>
      <x:c r="F39" s="20" t="n">
        <x:f>'Расчет'!E78</x:f>
        <x:v>3409.0561946144403</x:v>
      </x:c>
      <x:c r="G39" s="20" t="n">
        <x:f>'Расчет'!F78</x:f>
        <x:v>3735.171760738592</x:v>
      </x:c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  <x:c r="AA39" s="3"/>
      <x:c r="AB39" s="3"/>
    </x:row>
    <x:row r="40" ht="21" customHeight="1">
      <x:c r="A40" s="53" t="str">
        <x:v>Текущая распроданность</x:v>
      </x:c>
      <x:c r="B40" s="39" t="n">
        <x:f>1-B41/B39</x:f>
        <x:v>0.3210734070378187</x:v>
      </x:c>
      <x:c r="C40" s="39" t="n">
        <x:f>'Расчет'!B80</x:f>
        <x:v>0.3101058729897034</x:v>
      </x:c>
      <x:c r="D40" s="39" t="n">
        <x:f>'Расчет'!C80</x:f>
        <x:v>0.31257986352874284</x:v>
      </x:c>
      <x:c r="E40" s="39" t="n">
        <x:f>'Расчет'!D80</x:f>
        <x:v>0.3387466754752009</x:v>
      </x:c>
      <x:c r="F40" s="39" t="n">
        <x:f>'Расчет'!E80</x:f>
        <x:v>0.38837522953559034</x:v>
      </x:c>
      <x:c r="G40" s="39" t="n">
        <x:f>'Расчет'!F80</x:f>
        <x:v>0.4118412359084968</x:v>
      </x:c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  <x:c r="AA40" s="3"/>
      <x:c r="AB40" s="3"/>
    </x:row>
    <x:row r="41" ht="21" customHeight="1">
      <x:c r="A41" s="53" t="str">
        <x:v>Непроданный остаток</x:v>
      </x:c>
      <x:c r="B41" s="20" t="n">
        <x:f>'Расчет'!B67</x:f>
        <x:v>2765.8744100000004</x:v>
      </x:c>
      <x:c r="C41" s="20" t="n">
        <x:f>'Расчет'!B81</x:f>
        <x:v>2555.8771276704865</x:v>
      </x:c>
      <x:c r="D41" s="20" t="n">
        <x:f>'Расчет'!C81</x:f>
        <x:v>2186.336656849804</x:v>
      </x:c>
      <x:c r="E41" s="20" t="n">
        <x:f>'Расчет'!D81</x:f>
        <x:v>2135.303635085748</x:v>
      </x:c>
      <x:c r="F41" s="20" t="n">
        <x:f>'Расчет'!E81</x:f>
        <x:v>2085.063212531331</x:v>
      </x:c>
      <x:c r="G41" s="20" t="n">
        <x:f>'Расчет'!F81</x:f>
        <x:v>2196.874006465494</x:v>
      </x:c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  <x:c r="AA41" s="3"/>
      <x:c r="AB41" s="3"/>
    </x:row>
    <x:row r="42" ht="21" customHeight="1">
      <x:c r="A42" s="53"/>
      <x:c r="B42" s="20"/>
      <x:c r="C42" s="20"/>
      <x:c r="D42" s="20"/>
      <x:c r="E42" s="20"/>
      <x:c r="F42" s="20"/>
      <x:c r="G42" s="20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  <x:c r="AA42" s="3"/>
      <x:c r="AB42" s="3"/>
    </x:row>
    <x:row r="43" ht="21" customHeight="1">
      <x:c r="A43" s="53"/>
      <x:c r="B43" s="20"/>
      <x:c r="C43" s="20"/>
      <x:c r="D43" s="20"/>
      <x:c r="E43" s="20"/>
      <x:c r="F43" s="20"/>
      <x:c r="G43" s="20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  <x:c r="AA43" s="3"/>
      <x:c r="AB43" s="3"/>
    </x:row>
    <x:row r="44" ht="21" customHeight="1">
      <x:c r="A44" s="53"/>
      <x:c r="B44" s="20"/>
      <x:c r="C44" s="20"/>
      <x:c r="D44" s="20"/>
      <x:c r="E44" s="20"/>
      <x:c r="F44" s="20"/>
      <x:c r="G44" s="20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  <x:c r="AA44" s="3"/>
      <x:c r="AB44" s="3"/>
    </x:row>
    <x:row r="45" ht="21" customHeight="1">
      <x:c r="A45" s="53"/>
      <x:c r="B45" s="20"/>
      <x:c r="C45" s="20"/>
      <x:c r="D45" s="20"/>
      <x:c r="E45" s="20"/>
      <x:c r="F45" s="20"/>
      <x:c r="G45" s="20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  <x:c r="AA45" s="3"/>
      <x:c r="AB45" s="3"/>
    </x:row>
    <x:row r="46" ht="34" customHeight="1">
      <x:c r="A46" s="51" t="str">
        <x:v>2026: запуск по классам технически согласован с матрицей (908 / 804 / 822). С 2027 доли — 36,86 / 33,54 / 29,60%.</x:v>
      </x:c>
      <x:c r="B46" s="52"/>
      <x:c r="C46" s="52"/>
      <x:c r="D46" s="52"/>
      <x:c r="E46" s="52"/>
      <x:c r="F46" s="52"/>
      <x:c r="G46" s="52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  <x:c r="AA46" s="3"/>
      <x:c r="AB46" s="3"/>
    </x:row>
    <x:row r="47" ht="21" customHeight="1">
      <x:c r="A47" s="53"/>
      <x:c r="B47" s="20"/>
      <x:c r="C47" s="20"/>
      <x:c r="D47" s="20"/>
      <x:c r="E47" s="20"/>
      <x:c r="F47" s="20"/>
      <x:c r="G47" s="20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  <x:c r="AA47" s="3"/>
      <x:c r="AB47" s="3"/>
    </x:row>
    <x:row r="48" ht="38" customHeight="1">
      <x:c r="A48" s="51" t="str">
        <x:v>Продажи, распроданность и остаток — расчетная оценка: единые веса продаж по группам ввода и равномерный IV квартал. Все допущения доступны для изменения.</x:v>
      </x:c>
      <x:c r="B48" s="52"/>
      <x:c r="C48" s="52"/>
      <x:c r="D48" s="52"/>
      <x:c r="E48" s="52"/>
      <x:c r="F48" s="52"/>
      <x:c r="G48" s="52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  <x:c r="AA48" s="3"/>
      <x:c r="AB48" s="3"/>
    </x:row>
    <x:row r="49" ht="21" customHeight="1">
      <x:c r="A49" s="53"/>
      <x:c r="B49" s="20"/>
      <x:c r="C49" s="20"/>
      <x:c r="D49" s="20"/>
      <x:c r="E49" s="20"/>
      <x:c r="F49" s="20"/>
      <x:c r="G49" s="20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  <x:c r="Y49" s="3"/>
      <x:c r="Z49" s="3"/>
      <x:c r="AA49" s="3"/>
      <x:c r="AB49" s="3"/>
    </x:row>
    <x:row r="50" ht="21" customHeight="1">
      <x:c r="A50" s="53"/>
      <x:c r="B50" s="20"/>
      <x:c r="C50" s="20"/>
      <x:c r="D50" s="20"/>
      <x:c r="E50" s="20"/>
      <x:c r="F50" s="20"/>
      <x:c r="G50" s="20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  <x:c r="Y50" s="3"/>
      <x:c r="Z50" s="3"/>
      <x:c r="AA50" s="3"/>
      <x:c r="AB50" s="3"/>
    </x:row>
    <x:row r="51" ht="24" customHeight="1">
      <x:c r="A51" s="55" t="str">
        <x:v>Контроль согласованности</x:v>
      </x:c>
      <x:c r="B51" s="56"/>
      <x:c r="C51" s="56"/>
      <x:c r="D51" s="56"/>
      <x:c r="E51" s="56"/>
      <x:c r="F51" s="56"/>
      <x:c r="G51" s="56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  <x:c r="Y51" s="3"/>
      <x:c r="Z51" s="3"/>
      <x:c r="AA51" s="3"/>
      <x:c r="AB51" s="3"/>
    </x:row>
    <x:row r="52" ht="21" customHeight="1">
      <x:c r="A52" s="53" t="str">
        <x:v>Продажи классов − общий прогноз</x:v>
      </x:c>
      <x:c r="B52" s="20"/>
      <x:c r="C52" s="57" t="n">
        <x:f>C7-'Допущения'!B5</x:f>
        <x:v>0</x:v>
      </x:c>
      <x:c r="D52" s="57" t="n">
        <x:f>D7-'Допущения'!C5</x:f>
        <x:v>0</x:v>
      </x:c>
      <x:c r="E52" s="57" t="n">
        <x:f>E7-'Допущения'!D5</x:f>
        <x:v>4.547473508864641e-13</x:v>
      </x:c>
      <x:c r="F52" s="57" t="n">
        <x:f>F7-'Допущения'!E5</x:f>
        <x:v>0</x:v>
      </x:c>
      <x:c r="G52" s="57" t="n">
        <x:f>G7-'Допущения'!F5</x:f>
        <x:v>0</x:v>
      </x:c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  <x:c r="AA52" s="3"/>
      <x:c r="AB52" s="3"/>
    </x:row>
    <x:row r="53" ht="21" customHeight="1">
      <x:c r="A53" s="53" t="str">
        <x:v>Нераспределенные продажи</x:v>
      </x:c>
      <x:c r="B53" s="20"/>
      <x:c r="C53" s="57" t="n">
        <x:f>SUM('Расчет'!B18,'Расчет'!B46,'Расчет'!B74)</x:f>
        <x:v>0</x:v>
      </x:c>
      <x:c r="D53" s="57" t="n">
        <x:f>SUM('Расчет'!C18,'Расчет'!C46,'Расчет'!C74)</x:f>
        <x:v>0</x:v>
      </x:c>
      <x:c r="E53" s="57" t="n">
        <x:f>SUM('Расчет'!D18,'Расчет'!D46,'Расчет'!D74)</x:f>
        <x:v>0</x:v>
      </x:c>
      <x:c r="F53" s="57" t="n">
        <x:f>SUM('Расчет'!E18,'Расчет'!E46,'Расчет'!E74)</x:f>
        <x:v>0</x:v>
      </x:c>
      <x:c r="G53" s="57" t="n">
        <x:f>SUM('Расчет'!F18,'Расчет'!F46,'Расчет'!F74)</x:f>
        <x:v>0</x:v>
      </x:c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  <x:c r="AA53" s="3"/>
      <x:c r="AB53" s="3"/>
    </x:row>
    <x:row r="54" ht="21" customHeight="1">
      <x:c r="A54" s="53" t="str">
        <x:v>Баланс строительного портфеля</x:v>
      </x:c>
      <x:c r="B54" s="20"/>
      <x:c r="C54" s="57" t="n">
        <x:f>SUM('Расчет'!B26,'Расчет'!B54,'Расчет'!B82)</x:f>
        <x:v>0</x:v>
      </x:c>
      <x:c r="D54" s="57" t="n">
        <x:f>SUM('Расчет'!C26,'Расчет'!C54,'Расчет'!C82)</x:f>
        <x:v>0</x:v>
      </x:c>
      <x:c r="E54" s="57" t="n">
        <x:f>SUM('Расчет'!D26,'Расчет'!D54,'Расчет'!D82)</x:f>
        <x:v>0</x:v>
      </x:c>
      <x:c r="F54" s="57" t="n">
        <x:f>SUM('Расчет'!E26,'Расчет'!E54,'Расчет'!E82)</x:f>
        <x:v>0</x:v>
      </x:c>
      <x:c r="G54" s="57" t="n">
        <x:f>SUM('Расчет'!F26,'Расчет'!F54,'Расчет'!F82)</x:f>
        <x:v>0</x:v>
      </x:c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  <x:c r="AA54" s="3"/>
      <x:c r="AB54" s="3"/>
    </x:row>
    <x:row r="55" ht="21" customHeight="1">
      <x:c r="A55" s="53" t="str">
        <x:v>Портфель − продано − непродано</x:v>
      </x:c>
      <x:c r="B55" s="20"/>
      <x:c r="C55" s="57" t="n">
        <x:f>C9-SUM('Расчет'!B23,'Расчет'!B51,'Расчет'!B79)-C11</x:f>
        <x:v>0</x:v>
      </x:c>
      <x:c r="D55" s="57" t="n">
        <x:f>D9-SUM('Расчет'!C23,'Расчет'!C51,'Расчет'!C79)-D11</x:f>
        <x:v>9.094947017729282e-13</x:v>
      </x:c>
      <x:c r="E55" s="57" t="n">
        <x:f>E9-SUM('Расчет'!D23,'Расчет'!D51,'Расчет'!D79)-E11</x:f>
        <x:v>0</x:v>
      </x:c>
      <x:c r="F55" s="57" t="n">
        <x:f>F9-SUM('Расчет'!E23,'Расчет'!E51,'Расчет'!E79)-F11</x:f>
        <x:v>0</x:v>
      </x:c>
      <x:c r="G55" s="57" t="n">
        <x:f>G9-SUM('Расчет'!F23,'Расчет'!F51,'Расчет'!F79)-G11</x:f>
        <x:v>0</x:v>
      </x:c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  <x:c r="AA55" s="3"/>
      <x:c r="AB55" s="3"/>
    </x:row>
    <x:row r="56" ht="21" customHeight="1">
      <x:c r="A56" s="53" t="str">
        <x:v>Профили: отклонение суммы от 100%</x:v>
      </x:c>
      <x:c r="B56" s="20"/>
      <x:c r="C56" s="57" t="n">
        <x:f>SUM('Допущения'!B24:G26)-3</x:f>
        <x:v>4.440892098500626e-16</x:v>
      </x:c>
      <x:c r="D56" s="57" t="n">
        <x:f>SUM('Допущения'!B24:G26)-3</x:f>
        <x:v>4.440892098500626e-16</x:v>
      </x:c>
      <x:c r="E56" s="57" t="n">
        <x:f>SUM('Допущения'!B24:G26)-3</x:f>
        <x:v>4.440892098500626e-16</x:v>
      </x:c>
      <x:c r="F56" s="57" t="n">
        <x:f>SUM('Допущения'!B24:G26)-3</x:f>
        <x:v>4.440892098500626e-16</x:v>
      </x:c>
      <x:c r="G56" s="57" t="n">
        <x:f>SUM('Допущения'!B24:G26)-3</x:f>
        <x:v>4.440892098500626e-16</x:v>
      </x:c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/>
      <x:c r="X56" s="3"/>
      <x:c r="Y56" s="3"/>
      <x:c r="Z56" s="3"/>
      <x:c r="AA56" s="3"/>
      <x:c r="AB56" s="3"/>
    </x:row>
    <x:row r="57" ht="21" customHeight="1">
      <x:c r="A57" s="2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  <x:c r="V57" s="3"/>
      <x:c r="W57" s="3"/>
      <x:c r="X57" s="3"/>
      <x:c r="Y57" s="3"/>
      <x:c r="Z57" s="3"/>
      <x:c r="AA57" s="3"/>
      <x:c r="AB57" s="3"/>
    </x:row>
    <x:row r="58" ht="21" customHeight="1">
      <x:c r="A58" s="2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  <x:c r="V58" s="3"/>
      <x:c r="W58" s="3"/>
      <x:c r="X58" s="3"/>
      <x:c r="Y58" s="3"/>
      <x:c r="Z58" s="3"/>
      <x:c r="AA58" s="3"/>
      <x:c r="AB58" s="3"/>
    </x:row>
    <x:row r="59" ht="21" customHeight="1">
      <x:c r="A59" s="2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  <x:c r="V59" s="3"/>
      <x:c r="W59" s="3"/>
      <x:c r="X59" s="3"/>
      <x:c r="Y59" s="3"/>
      <x:c r="Z59" s="3"/>
      <x:c r="AA59" s="3"/>
      <x:c r="AB59" s="3"/>
    </x:row>
    <x:row r="60" ht="21" customHeight="1">
      <x:c r="A60" s="2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  <x:c r="V60" s="3"/>
      <x:c r="W60" s="3"/>
      <x:c r="X60" s="3"/>
      <x:c r="Y60" s="3"/>
      <x:c r="Z60" s="3"/>
      <x:c r="AA60" s="3"/>
      <x:c r="AB60" s="3"/>
    </x:row>
    <x:row r="61" ht="21" customHeight="1">
      <x:c r="A61" s="2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  <x:c r="V61" s="3"/>
      <x:c r="W61" s="3"/>
      <x:c r="X61" s="3"/>
      <x:c r="Y61" s="3"/>
      <x:c r="Z61" s="3"/>
      <x:c r="AA61" s="3"/>
      <x:c r="AB61" s="3"/>
    </x:row>
    <x:row r="62" ht="21" customHeight="1">
      <x:c r="A62" s="2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  <x:c r="T62" s="3"/>
      <x:c r="U62" s="3"/>
      <x:c r="V62" s="3"/>
      <x:c r="W62" s="3"/>
      <x:c r="X62" s="3"/>
      <x:c r="Y62" s="3"/>
      <x:c r="Z62" s="3"/>
      <x:c r="AA62" s="3"/>
      <x:c r="AB62" s="3"/>
    </x:row>
    <x:row r="63" ht="21" customHeight="1">
      <x:c r="A63" s="2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  <x:c r="T63" s="3"/>
      <x:c r="U63" s="3"/>
      <x:c r="V63" s="3"/>
      <x:c r="W63" s="3"/>
      <x:c r="X63" s="3"/>
      <x:c r="Y63" s="3"/>
      <x:c r="Z63" s="3"/>
      <x:c r="AA63" s="3"/>
      <x:c r="AB63" s="3"/>
    </x:row>
    <x:row r="64" ht="21" customHeight="1">
      <x:c r="A64" s="2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  <x:c r="AA64" s="3"/>
      <x:c r="AB64" s="3"/>
    </x:row>
    <x:row r="65" ht="21" customHeight="1">
      <x:c r="A65" s="2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  <x:c r="T65" s="3"/>
      <x:c r="U65" s="3"/>
      <x:c r="V65" s="3"/>
      <x:c r="W65" s="3"/>
      <x:c r="X65" s="3"/>
      <x:c r="Y65" s="3"/>
      <x:c r="Z65" s="3"/>
      <x:c r="AA65" s="3"/>
      <x:c r="AB65" s="3"/>
    </x:row>
    <x:row r="66" ht="21" customHeight="1">
      <x:c r="A66" s="2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  <x:c r="T66" s="3"/>
      <x:c r="U66" s="3"/>
      <x:c r="V66" s="3"/>
      <x:c r="W66" s="3"/>
      <x:c r="X66" s="3"/>
      <x:c r="Y66" s="3"/>
      <x:c r="Z66" s="3"/>
      <x:c r="AA66" s="3"/>
      <x:c r="AB66" s="3"/>
    </x:row>
    <x:row r="67" ht="21" customHeight="1">
      <x:c r="A67" s="2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  <x:c r="T67" s="3"/>
      <x:c r="U67" s="3"/>
      <x:c r="V67" s="3"/>
      <x:c r="W67" s="3"/>
      <x:c r="X67" s="3"/>
      <x:c r="Y67" s="3"/>
      <x:c r="Z67" s="3"/>
      <x:c r="AA67" s="3"/>
      <x:c r="AB67" s="3"/>
    </x:row>
    <x:row r="68" ht="21" customHeight="1">
      <x:c r="A68" s="2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  <x:c r="AA68" s="3"/>
      <x:c r="AB68" s="3"/>
    </x:row>
    <x:row r="69" ht="21" customHeight="1">
      <x:c r="A69" s="2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  <x:c r="T69" s="3"/>
      <x:c r="U69" s="3"/>
      <x:c r="V69" s="3"/>
      <x:c r="W69" s="3"/>
      <x:c r="X69" s="3"/>
      <x:c r="Y69" s="3"/>
      <x:c r="Z69" s="3"/>
      <x:c r="AA69" s="3"/>
      <x:c r="AB69" s="3"/>
    </x:row>
    <x:row r="70" ht="21" customHeight="1">
      <x:c r="A70" s="2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  <x:c r="T70" s="3"/>
      <x:c r="U70" s="3"/>
      <x:c r="V70" s="3"/>
      <x:c r="W70" s="3"/>
      <x:c r="X70" s="3"/>
      <x:c r="Y70" s="3"/>
      <x:c r="Z70" s="3"/>
      <x:c r="AA70" s="3"/>
      <x:c r="AB70" s="3"/>
    </x:row>
    <x:row r="71" ht="21" customHeight="1">
      <x:c r="A71" s="2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  <x:c r="T71" s="3"/>
      <x:c r="U71" s="3"/>
      <x:c r="V71" s="3"/>
      <x:c r="W71" s="3"/>
      <x:c r="X71" s="3"/>
      <x:c r="Y71" s="3"/>
      <x:c r="Z71" s="3"/>
      <x:c r="AA71" s="3"/>
      <x:c r="AB71" s="3"/>
    </x:row>
    <x:row r="72" ht="21" customHeight="1">
      <x:c r="A72" s="2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  <x:c r="T72" s="3"/>
      <x:c r="U72" s="3"/>
      <x:c r="V72" s="3"/>
      <x:c r="W72" s="3"/>
      <x:c r="X72" s="3"/>
      <x:c r="Y72" s="3"/>
      <x:c r="Z72" s="3"/>
      <x:c r="AA72" s="3"/>
      <x:c r="AB72" s="3"/>
    </x:row>
    <x:row r="73" ht="21" customHeight="1">
      <x:c r="A73" s="2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  <x:c r="T73" s="3"/>
      <x:c r="U73" s="3"/>
      <x:c r="V73" s="3"/>
      <x:c r="W73" s="3"/>
      <x:c r="X73" s="3"/>
      <x:c r="Y73" s="3"/>
      <x:c r="Z73" s="3"/>
      <x:c r="AA73" s="3"/>
      <x:c r="AB73" s="3"/>
    </x:row>
    <x:row r="74" ht="21" customHeight="1">
      <x:c r="A74" s="2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  <x:c r="T74" s="3"/>
      <x:c r="U74" s="3"/>
      <x:c r="V74" s="3"/>
      <x:c r="W74" s="3"/>
      <x:c r="X74" s="3"/>
      <x:c r="Y74" s="3"/>
      <x:c r="Z74" s="3"/>
      <x:c r="AA74" s="3"/>
      <x:c r="AB74" s="3"/>
    </x:row>
    <x:row r="75" ht="21" customHeight="1">
      <x:c r="A75" s="2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  <x:c r="T75" s="3"/>
      <x:c r="U75" s="3"/>
      <x:c r="V75" s="3"/>
      <x:c r="W75" s="3"/>
      <x:c r="X75" s="3"/>
      <x:c r="Y75" s="3"/>
      <x:c r="Z75" s="3"/>
      <x:c r="AA75" s="3"/>
      <x:c r="AB75" s="3"/>
    </x:row>
    <x:row r="76" ht="21" customHeight="1">
      <x:c r="A76" s="2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  <x:c r="T76" s="3"/>
      <x:c r="U76" s="3"/>
      <x:c r="V76" s="3"/>
      <x:c r="W76" s="3"/>
      <x:c r="X76" s="3"/>
      <x:c r="Y76" s="3"/>
      <x:c r="Z76" s="3"/>
      <x:c r="AA76" s="3"/>
      <x:c r="AB76" s="3"/>
    </x:row>
    <x:row r="77" ht="21" customHeight="1">
      <x:c r="A77" s="2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  <x:c r="AA77" s="3"/>
      <x:c r="AB77" s="3"/>
    </x:row>
    <x:row r="78" ht="21" customHeight="1">
      <x:c r="A78" s="2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  <x:c r="T78" s="3"/>
      <x:c r="U78" s="3"/>
      <x:c r="V78" s="3"/>
      <x:c r="W78" s="3"/>
      <x:c r="X78" s="3"/>
      <x:c r="Y78" s="3"/>
      <x:c r="Z78" s="3"/>
      <x:c r="AA78" s="3"/>
      <x:c r="AB78" s="3"/>
    </x:row>
    <x:row r="79" ht="21" customHeight="1">
      <x:c r="A79" s="2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  <x:c r="T79" s="3"/>
      <x:c r="U79" s="3"/>
      <x:c r="V79" s="3"/>
      <x:c r="W79" s="3"/>
      <x:c r="X79" s="3"/>
      <x:c r="Y79" s="3"/>
      <x:c r="Z79" s="3"/>
      <x:c r="AA79" s="3"/>
      <x:c r="AB79" s="3"/>
    </x:row>
    <x:row r="80" ht="21" customHeight="1">
      <x:c r="A80" s="2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  <x:c r="Q80" s="3"/>
      <x:c r="R80" s="3"/>
      <x:c r="S80" s="3"/>
      <x:c r="T80" s="3"/>
      <x:c r="U80" s="3"/>
      <x:c r="V80" s="3"/>
      <x:c r="W80" s="3"/>
      <x:c r="X80" s="3"/>
      <x:c r="Y80" s="3"/>
      <x:c r="Z80" s="3"/>
      <x:c r="AA80" s="3"/>
      <x:c r="AB80" s="3"/>
    </x:row>
    <x:row r="81" ht="21" customHeight="1">
      <x:c r="A81" s="2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  <x:c r="AA81" s="3"/>
      <x:c r="AB81" s="3"/>
    </x:row>
    <x:row r="82" ht="21" customHeight="1">
      <x:c r="A82" s="2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3"/>
      <x:c r="Q82" s="3"/>
      <x:c r="R82" s="3"/>
      <x:c r="S82" s="3"/>
      <x:c r="T82" s="3"/>
      <x:c r="U82" s="3"/>
      <x:c r="V82" s="3"/>
      <x:c r="W82" s="3"/>
      <x:c r="X82" s="3"/>
      <x:c r="Y82" s="3"/>
      <x:c r="Z82" s="3"/>
      <x:c r="AA82" s="3"/>
      <x:c r="AB82" s="3"/>
    </x:row>
    <x:row r="83" ht="21" customHeight="1">
      <x:c r="A83" s="2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3"/>
      <x:c r="Q83" s="3"/>
      <x:c r="R83" s="3"/>
      <x:c r="S83" s="3"/>
      <x:c r="T83" s="3"/>
      <x:c r="U83" s="3"/>
      <x:c r="V83" s="3"/>
      <x:c r="W83" s="3"/>
      <x:c r="X83" s="3"/>
      <x:c r="Y83" s="3"/>
      <x:c r="Z83" s="3"/>
      <x:c r="AA83" s="3"/>
      <x:c r="AB83" s="3"/>
    </x:row>
    <x:row r="84" ht="21" customHeight="1">
      <x:c r="A84" s="2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3"/>
      <x:c r="Q84" s="3"/>
      <x:c r="R84" s="3"/>
      <x:c r="S84" s="3"/>
      <x:c r="T84" s="3"/>
      <x:c r="U84" s="3"/>
      <x:c r="V84" s="3"/>
      <x:c r="W84" s="3"/>
      <x:c r="X84" s="3"/>
      <x:c r="Y84" s="3"/>
      <x:c r="Z84" s="3"/>
      <x:c r="AA84" s="3"/>
      <x:c r="AB84" s="3"/>
    </x:row>
    <x:row r="85" ht="21" customHeight="1">
      <x:c r="A85" s="2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3"/>
      <x:c r="Q85" s="3"/>
      <x:c r="R85" s="3"/>
      <x:c r="S85" s="3"/>
      <x:c r="T85" s="3"/>
      <x:c r="U85" s="3"/>
      <x:c r="V85" s="3"/>
      <x:c r="W85" s="3"/>
      <x:c r="X85" s="3"/>
      <x:c r="Y85" s="3"/>
      <x:c r="Z85" s="3"/>
      <x:c r="AA85" s="3"/>
      <x:c r="AB85" s="3"/>
    </x:row>
    <x:row r="86" ht="21" customHeight="1">
      <x:c r="A86" s="2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3"/>
      <x:c r="Q86" s="3"/>
      <x:c r="R86" s="3"/>
      <x:c r="S86" s="3"/>
      <x:c r="T86" s="3"/>
      <x:c r="U86" s="3"/>
      <x:c r="V86" s="3"/>
      <x:c r="W86" s="3"/>
      <x:c r="X86" s="3"/>
      <x:c r="Y86" s="3"/>
      <x:c r="Z86" s="3"/>
      <x:c r="AA86" s="3"/>
      <x:c r="AB86" s="3"/>
    </x:row>
    <x:row r="87" ht="21" customHeight="1">
      <x:c r="A87" s="2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3"/>
      <x:c r="Q87" s="3"/>
      <x:c r="R87" s="3"/>
      <x:c r="S87" s="3"/>
      <x:c r="T87" s="3"/>
      <x:c r="U87" s="3"/>
      <x:c r="V87" s="3"/>
      <x:c r="W87" s="3"/>
      <x:c r="X87" s="3"/>
      <x:c r="Y87" s="3"/>
      <x:c r="Z87" s="3"/>
      <x:c r="AA87" s="3"/>
      <x:c r="AB87" s="3"/>
    </x:row>
    <x:row r="88" ht="21" customHeight="1">
      <x:c r="A88" s="2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3"/>
      <x:c r="Q88" s="3"/>
      <x:c r="R88" s="3"/>
      <x:c r="S88" s="3"/>
      <x:c r="T88" s="3"/>
      <x:c r="U88" s="3"/>
      <x:c r="V88" s="3"/>
      <x:c r="W88" s="3"/>
      <x:c r="X88" s="3"/>
      <x:c r="Y88" s="3"/>
      <x:c r="Z88" s="3"/>
      <x:c r="AA88" s="3"/>
      <x:c r="AB88" s="3"/>
    </x:row>
    <x:row r="89" ht="21" customHeight="1">
      <x:c r="A89" s="2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3"/>
      <x:c r="Q89" s="3"/>
      <x:c r="R89" s="3"/>
      <x:c r="S89" s="3"/>
      <x:c r="T89" s="3"/>
      <x:c r="U89" s="3"/>
      <x:c r="V89" s="3"/>
      <x:c r="W89" s="3"/>
      <x:c r="X89" s="3"/>
      <x:c r="Y89" s="3"/>
      <x:c r="Z89" s="3"/>
      <x:c r="AA89" s="3"/>
      <x:c r="AB89" s="3"/>
    </x:row>
    <x:row r="90" ht="21" customHeight="1">
      <x:c r="A90" s="2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3"/>
      <x:c r="Z90" s="3"/>
      <x:c r="AA90" s="3"/>
      <x:c r="AB90" s="3"/>
    </x:row>
    <x:row r="91" ht="21" customHeight="1">
      <x:c r="A91" s="2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3"/>
      <x:c r="Q91" s="3"/>
      <x:c r="R91" s="3"/>
      <x:c r="S91" s="3"/>
      <x:c r="T91" s="3"/>
      <x:c r="U91" s="3"/>
      <x:c r="V91" s="3"/>
      <x:c r="W91" s="3"/>
      <x:c r="X91" s="3"/>
      <x:c r="Y91" s="3"/>
      <x:c r="Z91" s="3"/>
      <x:c r="AA91" s="3"/>
      <x:c r="AB91" s="3"/>
    </x:row>
    <x:row r="92" ht="21" customHeight="1">
      <x:c r="A92" s="2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3"/>
      <x:c r="Q92" s="3"/>
      <x:c r="R92" s="3"/>
      <x:c r="S92" s="3"/>
      <x:c r="T92" s="3"/>
      <x:c r="U92" s="3"/>
      <x:c r="V92" s="3"/>
      <x:c r="W92" s="3"/>
      <x:c r="X92" s="3"/>
      <x:c r="Y92" s="3"/>
      <x:c r="Z92" s="3"/>
      <x:c r="AA92" s="3"/>
      <x:c r="AB92" s="3"/>
    </x:row>
    <x:row r="93" ht="21" customHeight="1">
      <x:c r="A93" s="2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3"/>
      <x:c r="Q93" s="3"/>
      <x:c r="R93" s="3"/>
      <x:c r="S93" s="3"/>
      <x:c r="T93" s="3"/>
      <x:c r="U93" s="3"/>
      <x:c r="V93" s="3"/>
      <x:c r="W93" s="3"/>
      <x:c r="X93" s="3"/>
      <x:c r="Y93" s="3"/>
      <x:c r="Z93" s="3"/>
      <x:c r="AA93" s="3"/>
      <x:c r="AB93" s="3"/>
    </x:row>
    <x:row r="94" ht="21" customHeight="1">
      <x:c r="A94" s="2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  <x:c r="AA94" s="3"/>
      <x:c r="AB94" s="3"/>
    </x:row>
    <x:row r="95" ht="21" customHeight="1">
      <x:c r="A95" s="2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3"/>
      <x:c r="Q95" s="3"/>
      <x:c r="R95" s="3"/>
      <x:c r="S95" s="3"/>
      <x:c r="T95" s="3"/>
      <x:c r="U95" s="3"/>
      <x:c r="V95" s="3"/>
      <x:c r="W95" s="3"/>
      <x:c r="X95" s="3"/>
      <x:c r="Y95" s="3"/>
      <x:c r="Z95" s="3"/>
      <x:c r="AA95" s="3"/>
      <x:c r="AB95" s="3"/>
    </x:row>
    <x:row r="96" ht="21" customHeight="1">
      <x:c r="A96" s="2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3"/>
      <x:c r="Q96" s="3"/>
      <x:c r="R96" s="3"/>
      <x:c r="S96" s="3"/>
      <x:c r="T96" s="3"/>
      <x:c r="U96" s="3"/>
      <x:c r="V96" s="3"/>
      <x:c r="W96" s="3"/>
      <x:c r="X96" s="3"/>
      <x:c r="Y96" s="3"/>
      <x:c r="Z96" s="3"/>
      <x:c r="AA96" s="3"/>
      <x:c r="AB96" s="3"/>
    </x:row>
    <x:row r="97" ht="21" customHeight="1">
      <x:c r="A97" s="2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3"/>
      <x:c r="Q97" s="3"/>
      <x:c r="R97" s="3"/>
      <x:c r="S97" s="3"/>
      <x:c r="T97" s="3"/>
      <x:c r="U97" s="3"/>
      <x:c r="V97" s="3"/>
      <x:c r="W97" s="3"/>
      <x:c r="X97" s="3"/>
      <x:c r="Y97" s="3"/>
      <x:c r="Z97" s="3"/>
      <x:c r="AA97" s="3"/>
      <x:c r="AB97" s="3"/>
    </x:row>
    <x:row r="98" ht="21" customHeight="1">
      <x:c r="A98" s="2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3"/>
      <x:c r="Q98" s="3"/>
      <x:c r="R98" s="3"/>
      <x:c r="S98" s="3"/>
      <x:c r="T98" s="3"/>
      <x:c r="U98" s="3"/>
      <x:c r="V98" s="3"/>
      <x:c r="W98" s="3"/>
      <x:c r="X98" s="3"/>
      <x:c r="Y98" s="3"/>
      <x:c r="Z98" s="3"/>
      <x:c r="AA98" s="3"/>
      <x:c r="AB98" s="3"/>
    </x:row>
    <x:row r="99" ht="21" customHeight="1">
      <x:c r="A99" s="2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3"/>
      <x:c r="Q99" s="3"/>
      <x:c r="R99" s="3"/>
      <x:c r="S99" s="3"/>
      <x:c r="T99" s="3"/>
      <x:c r="U99" s="3"/>
      <x:c r="V99" s="3"/>
      <x:c r="W99" s="3"/>
      <x:c r="X99" s="3"/>
      <x:c r="Y99" s="3"/>
      <x:c r="Z99" s="3"/>
      <x:c r="AA99" s="3"/>
      <x:c r="AB99" s="3"/>
    </x:row>
    <x:row r="100" ht="21" customHeight="1">
      <x:c r="A100" s="2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3"/>
      <x:c r="Q100" s="3"/>
      <x:c r="R100" s="3"/>
      <x:c r="S100" s="3"/>
      <x:c r="T100" s="3"/>
      <x:c r="U100" s="3"/>
      <x:c r="V100" s="3"/>
      <x:c r="W100" s="3"/>
      <x:c r="X100" s="3"/>
      <x:c r="Y100" s="3"/>
      <x:c r="Z100" s="3"/>
      <x:c r="AA100" s="3"/>
      <x:c r="AB100" s="3"/>
    </x:row>
    <x:row r="101" ht="21" customHeight="1">
      <x:c r="A101" s="2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3"/>
      <x:c r="Q101" s="3"/>
      <x:c r="R101" s="3"/>
      <x:c r="S101" s="3"/>
      <x:c r="T101" s="3"/>
      <x:c r="U101" s="3"/>
      <x:c r="V101" s="3"/>
      <x:c r="W101" s="3"/>
      <x:c r="X101" s="3"/>
      <x:c r="Y101" s="3"/>
      <x:c r="Z101" s="3"/>
      <x:c r="AA101" s="3"/>
      <x:c r="AB101" s="3"/>
    </x:row>
    <x:row r="102" ht="21" customHeight="1">
      <x:c r="A102" s="2"/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3"/>
      <x:c r="Q102" s="3"/>
      <x:c r="R102" s="3"/>
      <x:c r="S102" s="3"/>
      <x:c r="T102" s="3"/>
      <x:c r="U102" s="3"/>
      <x:c r="V102" s="3"/>
      <x:c r="W102" s="3"/>
      <x:c r="X102" s="3"/>
      <x:c r="Y102" s="3"/>
      <x:c r="Z102" s="3"/>
      <x:c r="AA102" s="3"/>
      <x:c r="AB102" s="3"/>
    </x:row>
    <x:row r="103" ht="21" customHeight="1">
      <x:c r="A103" s="2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  <x:c r="T103" s="3"/>
      <x:c r="U103" s="3"/>
      <x:c r="V103" s="3"/>
      <x:c r="W103" s="3"/>
      <x:c r="X103" s="3"/>
      <x:c r="Y103" s="3"/>
      <x:c r="Z103" s="3"/>
      <x:c r="AA103" s="3"/>
      <x:c r="AB103" s="3"/>
    </x:row>
    <x:row r="104" ht="21" customHeight="1">
      <x:c r="A104" s="2"/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3"/>
      <x:c r="Q104" s="3"/>
      <x:c r="R104" s="3"/>
      <x:c r="S104" s="3"/>
      <x:c r="T104" s="3"/>
      <x:c r="U104" s="3"/>
      <x:c r="V104" s="3"/>
      <x:c r="W104" s="3"/>
      <x:c r="X104" s="3"/>
      <x:c r="Y104" s="3"/>
      <x:c r="Z104" s="3"/>
      <x:c r="AA104" s="3"/>
      <x:c r="AB104" s="3"/>
    </x:row>
    <x:row r="105" ht="21" customHeight="1">
      <x:c r="A105" s="2"/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3"/>
      <x:c r="Q105" s="3"/>
      <x:c r="R105" s="3"/>
      <x:c r="S105" s="3"/>
      <x:c r="T105" s="3"/>
      <x:c r="U105" s="3"/>
      <x:c r="V105" s="3"/>
      <x:c r="W105" s="3"/>
      <x:c r="X105" s="3"/>
      <x:c r="Y105" s="3"/>
      <x:c r="Z105" s="3"/>
      <x:c r="AA105" s="3"/>
      <x:c r="AB105" s="3"/>
    </x:row>
    <x:row r="106" ht="21" customHeight="1">
      <x:c r="A106" s="2"/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3"/>
      <x:c r="Q106" s="3"/>
      <x:c r="R106" s="3"/>
      <x:c r="S106" s="3"/>
      <x:c r="T106" s="3"/>
      <x:c r="U106" s="3"/>
      <x:c r="V106" s="3"/>
      <x:c r="W106" s="3"/>
      <x:c r="X106" s="3"/>
      <x:c r="Y106" s="3"/>
      <x:c r="Z106" s="3"/>
      <x:c r="AA106" s="3"/>
      <x:c r="AB106" s="3"/>
    </x:row>
    <x:row r="107" ht="21" customHeight="1">
      <x:c r="A107" s="2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  <x:c r="T107" s="3"/>
      <x:c r="U107" s="3"/>
      <x:c r="V107" s="3"/>
      <x:c r="W107" s="3"/>
      <x:c r="X107" s="3"/>
      <x:c r="Y107" s="3"/>
      <x:c r="Z107" s="3"/>
      <x:c r="AA107" s="3"/>
      <x:c r="AB107" s="3"/>
    </x:row>
    <x:row r="108" ht="21" customHeight="1">
      <x:c r="A108" s="2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3"/>
      <x:c r="Q108" s="3"/>
      <x:c r="R108" s="3"/>
      <x:c r="S108" s="3"/>
      <x:c r="T108" s="3"/>
      <x:c r="U108" s="3"/>
      <x:c r="V108" s="3"/>
      <x:c r="W108" s="3"/>
      <x:c r="X108" s="3"/>
      <x:c r="Y108" s="3"/>
      <x:c r="Z108" s="3"/>
      <x:c r="AA108" s="3"/>
      <x:c r="AB108" s="3"/>
    </x:row>
    <x:row r="109" ht="21" customHeight="1">
      <x:c r="A109" s="2"/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3"/>
      <x:c r="Q109" s="3"/>
      <x:c r="R109" s="3"/>
      <x:c r="S109" s="3"/>
      <x:c r="T109" s="3"/>
      <x:c r="U109" s="3"/>
      <x:c r="V109" s="3"/>
      <x:c r="W109" s="3"/>
      <x:c r="X109" s="3"/>
      <x:c r="Y109" s="3"/>
      <x:c r="Z109" s="3"/>
      <x:c r="AA109" s="3"/>
      <x:c r="AB109" s="3"/>
    </x:row>
    <x:row r="110" ht="21" customHeight="1">
      <x:c r="A110" s="2"/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3"/>
      <x:c r="Q110" s="3"/>
      <x:c r="R110" s="3"/>
      <x:c r="S110" s="3"/>
      <x:c r="T110" s="3"/>
      <x:c r="U110" s="3"/>
      <x:c r="V110" s="3"/>
      <x:c r="W110" s="3"/>
      <x:c r="X110" s="3"/>
      <x:c r="Y110" s="3"/>
      <x:c r="Z110" s="3"/>
      <x:c r="AA110" s="3"/>
      <x:c r="AB110" s="3"/>
    </x:row>
    <x:row r="111" ht="21" customHeight="1">
      <x:c r="A111" s="2"/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3"/>
      <x:c r="Q111" s="3"/>
      <x:c r="R111" s="3"/>
      <x:c r="S111" s="3"/>
      <x:c r="T111" s="3"/>
      <x:c r="U111" s="3"/>
      <x:c r="V111" s="3"/>
      <x:c r="W111" s="3"/>
      <x:c r="X111" s="3"/>
      <x:c r="Y111" s="3"/>
      <x:c r="Z111" s="3"/>
      <x:c r="AA111" s="3"/>
      <x:c r="AB111" s="3"/>
    </x:row>
    <x:row r="112" ht="21" customHeight="1">
      <x:c r="A112" s="2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3"/>
      <x:c r="Q112" s="3"/>
      <x:c r="R112" s="3"/>
      <x:c r="S112" s="3"/>
      <x:c r="T112" s="3"/>
      <x:c r="U112" s="3"/>
      <x:c r="V112" s="3"/>
      <x:c r="W112" s="3"/>
      <x:c r="X112" s="3"/>
      <x:c r="Y112" s="3"/>
      <x:c r="Z112" s="3"/>
      <x:c r="AA112" s="3"/>
      <x:c r="AB112" s="3"/>
    </x:row>
    <x:row r="113" ht="21" customHeight="1">
      <x:c r="A113" s="2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3"/>
      <x:c r="Q113" s="3"/>
      <x:c r="R113" s="3"/>
      <x:c r="S113" s="3"/>
      <x:c r="T113" s="3"/>
      <x:c r="U113" s="3"/>
      <x:c r="V113" s="3"/>
      <x:c r="W113" s="3"/>
      <x:c r="X113" s="3"/>
      <x:c r="Y113" s="3"/>
      <x:c r="Z113" s="3"/>
      <x:c r="AA113" s="3"/>
      <x:c r="AB113" s="3"/>
    </x:row>
    <x:row r="114" ht="21" customHeight="1">
      <x:c r="A114" s="2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3"/>
      <x:c r="Q114" s="3"/>
      <x:c r="R114" s="3"/>
      <x:c r="S114" s="3"/>
      <x:c r="T114" s="3"/>
      <x:c r="U114" s="3"/>
      <x:c r="V114" s="3"/>
      <x:c r="W114" s="3"/>
      <x:c r="X114" s="3"/>
      <x:c r="Y114" s="3"/>
      <x:c r="Z114" s="3"/>
      <x:c r="AA114" s="3"/>
      <x:c r="AB114" s="3"/>
    </x:row>
    <x:row r="115" ht="21" customHeight="1">
      <x:c r="A115" s="2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3"/>
      <x:c r="Q115" s="3"/>
      <x:c r="R115" s="3"/>
      <x:c r="S115" s="3"/>
      <x:c r="T115" s="3"/>
      <x:c r="U115" s="3"/>
      <x:c r="V115" s="3"/>
      <x:c r="W115" s="3"/>
      <x:c r="X115" s="3"/>
      <x:c r="Y115" s="3"/>
      <x:c r="Z115" s="3"/>
      <x:c r="AA115" s="3"/>
      <x:c r="AB115" s="3"/>
    </x:row>
    <x:row r="116" ht="21" customHeight="1">
      <x:c r="A116" s="2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  <x:c r="S116" s="3"/>
      <x:c r="T116" s="3"/>
      <x:c r="U116" s="3"/>
      <x:c r="V116" s="3"/>
      <x:c r="W116" s="3"/>
      <x:c r="X116" s="3"/>
      <x:c r="Y116" s="3"/>
      <x:c r="Z116" s="3"/>
      <x:c r="AA116" s="3"/>
      <x:c r="AB116" s="3"/>
    </x:row>
    <x:row r="117" ht="21" customHeight="1">
      <x:c r="A117" s="2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3"/>
      <x:c r="Q117" s="3"/>
      <x:c r="R117" s="3"/>
      <x:c r="S117" s="3"/>
      <x:c r="T117" s="3"/>
      <x:c r="U117" s="3"/>
      <x:c r="V117" s="3"/>
      <x:c r="W117" s="3"/>
      <x:c r="X117" s="3"/>
      <x:c r="Y117" s="3"/>
      <x:c r="Z117" s="3"/>
      <x:c r="AA117" s="3"/>
      <x:c r="AB117" s="3"/>
    </x:row>
    <x:row r="118" ht="21" customHeight="1">
      <x:c r="A118" s="2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3"/>
      <x:c r="Q118" s="3"/>
      <x:c r="R118" s="3"/>
      <x:c r="S118" s="3"/>
      <x:c r="T118" s="3"/>
      <x:c r="U118" s="3"/>
      <x:c r="V118" s="3"/>
      <x:c r="W118" s="3"/>
      <x:c r="X118" s="3"/>
      <x:c r="Y118" s="3"/>
      <x:c r="Z118" s="3"/>
      <x:c r="AA118" s="3"/>
      <x:c r="AB118" s="3"/>
    </x:row>
    <x:row r="119" ht="21" customHeight="1">
      <x:c r="A119" s="2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3"/>
      <x:c r="Q119" s="3"/>
      <x:c r="R119" s="3"/>
      <x:c r="S119" s="3"/>
      <x:c r="T119" s="3"/>
      <x:c r="U119" s="3"/>
      <x:c r="V119" s="3"/>
      <x:c r="W119" s="3"/>
      <x:c r="X119" s="3"/>
      <x:c r="Y119" s="3"/>
      <x:c r="Z119" s="3"/>
      <x:c r="AA119" s="3"/>
      <x:c r="AB119" s="3"/>
    </x:row>
    <x:row r="120" ht="21" customHeight="1">
      <x:c r="A120" s="2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  <x:c r="S120" s="3"/>
      <x:c r="T120" s="3"/>
      <x:c r="U120" s="3"/>
      <x:c r="V120" s="3"/>
      <x:c r="W120" s="3"/>
      <x:c r="X120" s="3"/>
      <x:c r="Y120" s="3"/>
      <x:c r="Z120" s="3"/>
      <x:c r="AA120" s="3"/>
      <x:c r="AB120" s="3"/>
    </x:row>
    <x:row r="121" ht="21" customHeight="1">
      <x:c r="A121" s="2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3"/>
      <x:c r="Q121" s="3"/>
      <x:c r="R121" s="3"/>
      <x:c r="S121" s="3"/>
      <x:c r="T121" s="3"/>
      <x:c r="U121" s="3"/>
      <x:c r="V121" s="3"/>
      <x:c r="W121" s="3"/>
      <x:c r="X121" s="3"/>
      <x:c r="Y121" s="3"/>
      <x:c r="Z121" s="3"/>
      <x:c r="AA121" s="3"/>
      <x:c r="AB121" s="3"/>
    </x:row>
    <x:row r="122" ht="21" customHeight="1">
      <x:c r="A122" s="2"/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3"/>
      <x:c r="Q122" s="3"/>
      <x:c r="R122" s="3"/>
      <x:c r="S122" s="3"/>
      <x:c r="T122" s="3"/>
      <x:c r="U122" s="3"/>
      <x:c r="V122" s="3"/>
      <x:c r="W122" s="3"/>
      <x:c r="X122" s="3"/>
      <x:c r="Y122" s="3"/>
      <x:c r="Z122" s="3"/>
      <x:c r="AA122" s="3"/>
      <x:c r="AB122" s="3"/>
    </x:row>
    <x:row r="123" ht="21" customHeight="1">
      <x:c r="A123" s="2"/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3"/>
      <x:c r="Q123" s="3"/>
      <x:c r="R123" s="3"/>
      <x:c r="S123" s="3"/>
      <x:c r="T123" s="3"/>
      <x:c r="U123" s="3"/>
      <x:c r="V123" s="3"/>
      <x:c r="W123" s="3"/>
      <x:c r="X123" s="3"/>
      <x:c r="Y123" s="3"/>
      <x:c r="Z123" s="3"/>
      <x:c r="AA123" s="3"/>
      <x:c r="AB123" s="3"/>
    </x:row>
    <x:row r="124" ht="21" customHeight="1">
      <x:c r="A124" s="2"/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3"/>
      <x:c r="Q124" s="3"/>
      <x:c r="R124" s="3"/>
      <x:c r="S124" s="3"/>
      <x:c r="T124" s="3"/>
      <x:c r="U124" s="3"/>
      <x:c r="V124" s="3"/>
      <x:c r="W124" s="3"/>
      <x:c r="X124" s="3"/>
      <x:c r="Y124" s="3"/>
      <x:c r="Z124" s="3"/>
      <x:c r="AA124" s="3"/>
      <x:c r="AB124" s="3"/>
    </x:row>
    <x:row r="125" ht="21" customHeight="1">
      <x:c r="A125" s="2"/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3"/>
      <x:c r="Q125" s="3"/>
      <x:c r="R125" s="3"/>
      <x:c r="S125" s="3"/>
      <x:c r="T125" s="3"/>
      <x:c r="U125" s="3"/>
      <x:c r="V125" s="3"/>
      <x:c r="W125" s="3"/>
      <x:c r="X125" s="3"/>
      <x:c r="Y125" s="3"/>
      <x:c r="Z125" s="3"/>
      <x:c r="AA125" s="3"/>
      <x:c r="AB125" s="3"/>
    </x:row>
    <x:row r="126" ht="21" customHeight="1">
      <x:c r="A126" s="2"/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3"/>
      <x:c r="Q126" s="3"/>
      <x:c r="R126" s="3"/>
      <x:c r="S126" s="3"/>
      <x:c r="T126" s="3"/>
      <x:c r="U126" s="3"/>
      <x:c r="V126" s="3"/>
      <x:c r="W126" s="3"/>
      <x:c r="X126" s="3"/>
      <x:c r="Y126" s="3"/>
      <x:c r="Z126" s="3"/>
      <x:c r="AA126" s="3"/>
      <x:c r="AB126" s="3"/>
    </x:row>
    <x:row r="127" ht="21" customHeight="1">
      <x:c r="A127" s="2"/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3"/>
      <x:c r="Q127" s="3"/>
      <x:c r="R127" s="3"/>
      <x:c r="S127" s="3"/>
      <x:c r="T127" s="3"/>
      <x:c r="U127" s="3"/>
      <x:c r="V127" s="3"/>
      <x:c r="W127" s="3"/>
      <x:c r="X127" s="3"/>
      <x:c r="Y127" s="3"/>
      <x:c r="Z127" s="3"/>
      <x:c r="AA127" s="3"/>
      <x:c r="AB127" s="3"/>
    </x:row>
    <x:row r="128" ht="21" customHeight="1">
      <x:c r="A128" s="2"/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3"/>
      <x:c r="Q128" s="3"/>
      <x:c r="R128" s="3"/>
      <x:c r="S128" s="3"/>
      <x:c r="T128" s="3"/>
      <x:c r="U128" s="3"/>
      <x:c r="V128" s="3"/>
      <x:c r="W128" s="3"/>
      <x:c r="X128" s="3"/>
      <x:c r="Y128" s="3"/>
      <x:c r="Z128" s="3"/>
      <x:c r="AA128" s="3"/>
      <x:c r="AB128" s="3"/>
    </x:row>
    <x:row r="129" ht="21" customHeight="1">
      <x:c r="A129" s="2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3"/>
      <x:c r="Q129" s="3"/>
      <x:c r="R129" s="3"/>
      <x:c r="S129" s="3"/>
      <x:c r="T129" s="3"/>
      <x:c r="U129" s="3"/>
      <x:c r="V129" s="3"/>
      <x:c r="W129" s="3"/>
      <x:c r="X129" s="3"/>
      <x:c r="Y129" s="3"/>
      <x:c r="Z129" s="3"/>
      <x:c r="AA129" s="3"/>
      <x:c r="AB129" s="3"/>
    </x:row>
    <x:row r="130" ht="21" customHeight="1">
      <x:c r="A130" s="2"/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3"/>
      <x:c r="Q130" s="3"/>
      <x:c r="R130" s="3"/>
      <x:c r="S130" s="3"/>
      <x:c r="T130" s="3"/>
      <x:c r="U130" s="3"/>
      <x:c r="V130" s="3"/>
      <x:c r="W130" s="3"/>
      <x:c r="X130" s="3"/>
      <x:c r="Y130" s="3"/>
      <x:c r="Z130" s="3"/>
      <x:c r="AA130" s="3"/>
      <x:c r="AB130" s="3"/>
    </x:row>
    <x:row r="131" ht="21" customHeight="1">
      <x:c r="A131" s="2"/>
      <x:c r="B131" s="3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3"/>
      <x:c r="Q131" s="3"/>
      <x:c r="R131" s="3"/>
      <x:c r="S131" s="3"/>
      <x:c r="T131" s="3"/>
      <x:c r="U131" s="3"/>
      <x:c r="V131" s="3"/>
      <x:c r="W131" s="3"/>
      <x:c r="X131" s="3"/>
      <x:c r="Y131" s="3"/>
      <x:c r="Z131" s="3"/>
      <x:c r="AA131" s="3"/>
      <x:c r="AB131" s="3"/>
    </x:row>
    <x:row r="132" ht="21" customHeight="1">
      <x:c r="A132" s="2"/>
      <x:c r="B132" s="3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3"/>
      <x:c r="Q132" s="3"/>
      <x:c r="R132" s="3"/>
      <x:c r="S132" s="3"/>
      <x:c r="T132" s="3"/>
      <x:c r="U132" s="3"/>
      <x:c r="V132" s="3"/>
      <x:c r="W132" s="3"/>
      <x:c r="X132" s="3"/>
      <x:c r="Y132" s="3"/>
      <x:c r="Z132" s="3"/>
      <x:c r="AA132" s="3"/>
      <x:c r="AB132" s="3"/>
    </x:row>
    <x:row r="133" ht="21" customHeight="1">
      <x:c r="A133" s="2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3"/>
      <x:c r="Q133" s="3"/>
      <x:c r="R133" s="3"/>
      <x:c r="S133" s="3"/>
      <x:c r="T133" s="3"/>
      <x:c r="U133" s="3"/>
      <x:c r="V133" s="3"/>
      <x:c r="W133" s="3"/>
      <x:c r="X133" s="3"/>
      <x:c r="Y133" s="3"/>
      <x:c r="Z133" s="3"/>
      <x:c r="AA133" s="3"/>
      <x:c r="AB133" s="3"/>
    </x:row>
    <x:row r="134" ht="21" customHeight="1">
      <x:c r="A134" s="2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3"/>
      <x:c r="Q134" s="3"/>
      <x:c r="R134" s="3"/>
      <x:c r="S134" s="3"/>
      <x:c r="T134" s="3"/>
      <x:c r="U134" s="3"/>
      <x:c r="V134" s="3"/>
      <x:c r="W134" s="3"/>
      <x:c r="X134" s="3"/>
      <x:c r="Y134" s="3"/>
      <x:c r="Z134" s="3"/>
      <x:c r="AA134" s="3"/>
      <x:c r="AB134" s="3"/>
    </x:row>
    <x:row r="135" ht="21" customHeight="1">
      <x:c r="A135" s="2"/>
      <x:c r="B135" s="3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3"/>
      <x:c r="Q135" s="3"/>
      <x:c r="R135" s="3"/>
      <x:c r="S135" s="3"/>
      <x:c r="T135" s="3"/>
      <x:c r="U135" s="3"/>
      <x:c r="V135" s="3"/>
      <x:c r="W135" s="3"/>
      <x:c r="X135" s="3"/>
      <x:c r="Y135" s="3"/>
      <x:c r="Z135" s="3"/>
      <x:c r="AA135" s="3"/>
      <x:c r="AB135" s="3"/>
    </x:row>
    <x:row r="136" ht="21" customHeight="1">
      <x:c r="A136" s="2"/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3"/>
      <x:c r="Q136" s="3"/>
      <x:c r="R136" s="3"/>
      <x:c r="S136" s="3"/>
      <x:c r="T136" s="3"/>
      <x:c r="U136" s="3"/>
      <x:c r="V136" s="3"/>
      <x:c r="W136" s="3"/>
      <x:c r="X136" s="3"/>
      <x:c r="Y136" s="3"/>
      <x:c r="Z136" s="3"/>
      <x:c r="AA136" s="3"/>
      <x:c r="AB136" s="3"/>
    </x:row>
    <x:row r="137" ht="21" customHeight="1">
      <x:c r="A137" s="2"/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3"/>
      <x:c r="Q137" s="3"/>
      <x:c r="R137" s="3"/>
      <x:c r="S137" s="3"/>
      <x:c r="T137" s="3"/>
      <x:c r="U137" s="3"/>
      <x:c r="V137" s="3"/>
      <x:c r="W137" s="3"/>
      <x:c r="X137" s="3"/>
      <x:c r="Y137" s="3"/>
      <x:c r="Z137" s="3"/>
      <x:c r="AA137" s="3"/>
      <x:c r="AB137" s="3"/>
    </x:row>
    <x:row r="138" ht="21" customHeight="1">
      <x:c r="A138" s="2"/>
      <x:c r="B138" s="3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3"/>
      <x:c r="Q138" s="3"/>
      <x:c r="R138" s="3"/>
      <x:c r="S138" s="3"/>
      <x:c r="T138" s="3"/>
      <x:c r="U138" s="3"/>
      <x:c r="V138" s="3"/>
      <x:c r="W138" s="3"/>
      <x:c r="X138" s="3"/>
      <x:c r="Y138" s="3"/>
      <x:c r="Z138" s="3"/>
      <x:c r="AA138" s="3"/>
      <x:c r="AB138" s="3"/>
    </x:row>
    <x:row r="139" ht="21" customHeight="1">
      <x:c r="A139" s="2"/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3"/>
      <x:c r="Q139" s="3"/>
      <x:c r="R139" s="3"/>
      <x:c r="S139" s="3"/>
      <x:c r="T139" s="3"/>
      <x:c r="U139" s="3"/>
      <x:c r="V139" s="3"/>
      <x:c r="W139" s="3"/>
      <x:c r="X139" s="3"/>
      <x:c r="Y139" s="3"/>
      <x:c r="Z139" s="3"/>
      <x:c r="AA139" s="3"/>
      <x:c r="AB139" s="3"/>
    </x:row>
    <x:row r="140" ht="21" customHeight="1">
      <x:c r="A140" s="2"/>
      <x:c r="B140" s="3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3"/>
      <x:c r="Q140" s="3"/>
      <x:c r="R140" s="3"/>
      <x:c r="S140" s="3"/>
      <x:c r="T140" s="3"/>
      <x:c r="U140" s="3"/>
      <x:c r="V140" s="3"/>
      <x:c r="W140" s="3"/>
      <x:c r="X140" s="3"/>
      <x:c r="Y140" s="3"/>
      <x:c r="Z140" s="3"/>
      <x:c r="AA140" s="3"/>
      <x:c r="AB140" s="3"/>
    </x:row>
    <x:row r="141" ht="21" customHeight="1">
      <x:c r="A141" s="2"/>
      <x:c r="B141" s="3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3"/>
      <x:c r="Q141" s="3"/>
      <x:c r="R141" s="3"/>
      <x:c r="S141" s="3"/>
      <x:c r="T141" s="3"/>
      <x:c r="U141" s="3"/>
      <x:c r="V141" s="3"/>
      <x:c r="W141" s="3"/>
      <x:c r="X141" s="3"/>
      <x:c r="Y141" s="3"/>
      <x:c r="Z141" s="3"/>
      <x:c r="AA141" s="3"/>
      <x:c r="AB141" s="3"/>
    </x:row>
    <x:row r="142" ht="21" customHeight="1">
      <x:c r="A142" s="2"/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3"/>
      <x:c r="Q142" s="3"/>
      <x:c r="R142" s="3"/>
      <x:c r="S142" s="3"/>
      <x:c r="T142" s="3"/>
      <x:c r="U142" s="3"/>
      <x:c r="V142" s="3"/>
      <x:c r="W142" s="3"/>
      <x:c r="X142" s="3"/>
      <x:c r="Y142" s="3"/>
      <x:c r="Z142" s="3"/>
      <x:c r="AA142" s="3"/>
      <x:c r="AB142" s="3"/>
    </x:row>
    <x:row r="143" ht="21" customHeight="1">
      <x:c r="A143" s="2"/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3"/>
      <x:c r="Q143" s="3"/>
      <x:c r="R143" s="3"/>
      <x:c r="S143" s="3"/>
      <x:c r="T143" s="3"/>
      <x:c r="U143" s="3"/>
      <x:c r="V143" s="3"/>
      <x:c r="W143" s="3"/>
      <x:c r="X143" s="3"/>
      <x:c r="Y143" s="3"/>
      <x:c r="Z143" s="3"/>
      <x:c r="AA143" s="3"/>
      <x:c r="AB143" s="3"/>
    </x:row>
    <x:row r="144" ht="21" customHeight="1">
      <x:c r="A144" s="2"/>
      <x:c r="B144" s="3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3"/>
      <x:c r="Q144" s="3"/>
      <x:c r="R144" s="3"/>
      <x:c r="S144" s="3"/>
      <x:c r="T144" s="3"/>
      <x:c r="U144" s="3"/>
      <x:c r="V144" s="3"/>
      <x:c r="W144" s="3"/>
      <x:c r="X144" s="3"/>
      <x:c r="Y144" s="3"/>
      <x:c r="Z144" s="3"/>
      <x:c r="AA144" s="3"/>
      <x:c r="AB144" s="3"/>
    </x:row>
    <x:row r="145" ht="21" customHeight="1">
      <x:c r="A145" s="2"/>
      <x:c r="B145" s="3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3"/>
      <x:c r="Q145" s="3"/>
      <x:c r="R145" s="3"/>
      <x:c r="S145" s="3"/>
      <x:c r="T145" s="3"/>
      <x:c r="U145" s="3"/>
      <x:c r="V145" s="3"/>
      <x:c r="W145" s="3"/>
      <x:c r="X145" s="3"/>
      <x:c r="Y145" s="3"/>
      <x:c r="Z145" s="3"/>
      <x:c r="AA145" s="3"/>
      <x:c r="AB145" s="3"/>
    </x:row>
    <x:row r="146" ht="21" customHeight="1">
      <x:c r="A146" s="2"/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3"/>
      <x:c r="Q146" s="3"/>
      <x:c r="R146" s="3"/>
      <x:c r="S146" s="3"/>
      <x:c r="T146" s="3"/>
      <x:c r="U146" s="3"/>
      <x:c r="V146" s="3"/>
      <x:c r="W146" s="3"/>
      <x:c r="X146" s="3"/>
      <x:c r="Y146" s="3"/>
      <x:c r="Z146" s="3"/>
      <x:c r="AA146" s="3"/>
      <x:c r="AB146" s="3"/>
    </x:row>
    <x:row r="147" ht="21" customHeight="1">
      <x:c r="A147" s="2"/>
      <x:c r="B147" s="3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3"/>
      <x:c r="Q147" s="3"/>
      <x:c r="R147" s="3"/>
      <x:c r="S147" s="3"/>
      <x:c r="T147" s="3"/>
      <x:c r="U147" s="3"/>
      <x:c r="V147" s="3"/>
      <x:c r="W147" s="3"/>
      <x:c r="X147" s="3"/>
      <x:c r="Y147" s="3"/>
      <x:c r="Z147" s="3"/>
      <x:c r="AA147" s="3"/>
      <x:c r="AB147" s="3"/>
    </x:row>
    <x:row r="148" ht="21" customHeight="1">
      <x:c r="A148" s="2"/>
      <x:c r="B148" s="3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3"/>
      <x:c r="Q148" s="3"/>
      <x:c r="R148" s="3"/>
      <x:c r="S148" s="3"/>
      <x:c r="T148" s="3"/>
      <x:c r="U148" s="3"/>
      <x:c r="V148" s="3"/>
      <x:c r="W148" s="3"/>
      <x:c r="X148" s="3"/>
      <x:c r="Y148" s="3"/>
      <x:c r="Z148" s="3"/>
      <x:c r="AA148" s="3"/>
      <x:c r="AB148" s="3"/>
    </x:row>
    <x:row r="149" ht="21" customHeight="1">
      <x:c r="A149" s="2"/>
      <x:c r="B149" s="3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3"/>
      <x:c r="Q149" s="3"/>
      <x:c r="R149" s="3"/>
      <x:c r="S149" s="3"/>
      <x:c r="T149" s="3"/>
      <x:c r="U149" s="3"/>
      <x:c r="V149" s="3"/>
      <x:c r="W149" s="3"/>
      <x:c r="X149" s="3"/>
      <x:c r="Y149" s="3"/>
      <x:c r="Z149" s="3"/>
      <x:c r="AA149" s="3"/>
      <x:c r="AB149" s="3"/>
    </x:row>
    <x:row r="150" ht="21" customHeight="1">
      <x:c r="A150" s="2"/>
      <x:c r="B150" s="3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3"/>
      <x:c r="Q150" s="3"/>
      <x:c r="R150" s="3"/>
      <x:c r="S150" s="3"/>
      <x:c r="T150" s="3"/>
      <x:c r="U150" s="3"/>
      <x:c r="V150" s="3"/>
      <x:c r="W150" s="3"/>
      <x:c r="X150" s="3"/>
      <x:c r="Y150" s="3"/>
      <x:c r="Z150" s="3"/>
      <x:c r="AA150" s="3"/>
      <x:c r="AB150" s="3"/>
    </x:row>
    <x:row r="151" ht="21" customHeight="1">
      <x:c r="A151" s="2"/>
      <x:c r="B151" s="3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3"/>
      <x:c r="Q151" s="3"/>
      <x:c r="R151" s="3"/>
      <x:c r="S151" s="3"/>
      <x:c r="T151" s="3"/>
      <x:c r="U151" s="3"/>
      <x:c r="V151" s="3"/>
      <x:c r="W151" s="3"/>
      <x:c r="X151" s="3"/>
      <x:c r="Y151" s="3"/>
      <x:c r="Z151" s="3"/>
      <x:c r="AA151" s="3"/>
      <x:c r="AB151" s="3"/>
    </x:row>
    <x:row r="152" ht="21" customHeight="1">
      <x:c r="A152" s="2"/>
      <x:c r="B152" s="3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3"/>
      <x:c r="Q152" s="3"/>
      <x:c r="R152" s="3"/>
      <x:c r="S152" s="3"/>
      <x:c r="T152" s="3"/>
      <x:c r="U152" s="3"/>
      <x:c r="V152" s="3"/>
      <x:c r="W152" s="3"/>
      <x:c r="X152" s="3"/>
      <x:c r="Y152" s="3"/>
      <x:c r="Z152" s="3"/>
      <x:c r="AA152" s="3"/>
      <x:c r="AB152" s="3"/>
    </x:row>
    <x:row r="153" ht="21" customHeight="1">
      <x:c r="A153" s="2"/>
      <x:c r="B153" s="3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3"/>
      <x:c r="Q153" s="3"/>
      <x:c r="R153" s="3"/>
      <x:c r="S153" s="3"/>
      <x:c r="T153" s="3"/>
      <x:c r="U153" s="3"/>
      <x:c r="V153" s="3"/>
      <x:c r="W153" s="3"/>
      <x:c r="X153" s="3"/>
      <x:c r="Y153" s="3"/>
      <x:c r="Z153" s="3"/>
      <x:c r="AA153" s="3"/>
      <x:c r="AB153" s="3"/>
    </x:row>
    <x:row r="154" ht="21" customHeight="1">
      <x:c r="A154" s="2"/>
      <x:c r="B154" s="3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3"/>
      <x:c r="Q154" s="3"/>
      <x:c r="R154" s="3"/>
      <x:c r="S154" s="3"/>
      <x:c r="T154" s="3"/>
      <x:c r="U154" s="3"/>
      <x:c r="V154" s="3"/>
      <x:c r="W154" s="3"/>
      <x:c r="X154" s="3"/>
      <x:c r="Y154" s="3"/>
      <x:c r="Z154" s="3"/>
      <x:c r="AA154" s="3"/>
      <x:c r="AB154" s="3"/>
    </x:row>
    <x:row r="155" ht="21" customHeight="1">
      <x:c r="A155" s="2"/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3"/>
      <x:c r="Q155" s="3"/>
      <x:c r="R155" s="3"/>
      <x:c r="S155" s="3"/>
      <x:c r="T155" s="3"/>
      <x:c r="U155" s="3"/>
      <x:c r="V155" s="3"/>
      <x:c r="W155" s="3"/>
      <x:c r="X155" s="3"/>
      <x:c r="Y155" s="3"/>
      <x:c r="Z155" s="3"/>
      <x:c r="AA155" s="3"/>
      <x:c r="AB155" s="3"/>
    </x:row>
    <x:row r="156" ht="21" customHeight="1">
      <x:c r="A156" s="2"/>
      <x:c r="B156" s="3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3"/>
      <x:c r="Q156" s="3"/>
      <x:c r="R156" s="3"/>
      <x:c r="S156" s="3"/>
      <x:c r="T156" s="3"/>
      <x:c r="U156" s="3"/>
      <x:c r="V156" s="3"/>
      <x:c r="W156" s="3"/>
      <x:c r="X156" s="3"/>
      <x:c r="Y156" s="3"/>
      <x:c r="Z156" s="3"/>
      <x:c r="AA156" s="3"/>
      <x:c r="AB156" s="3"/>
    </x:row>
    <x:row r="157" ht="21" customHeight="1">
      <x:c r="A157" s="2"/>
      <x:c r="B157" s="3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3"/>
      <x:c r="Q157" s="3"/>
      <x:c r="R157" s="3"/>
      <x:c r="S157" s="3"/>
      <x:c r="T157" s="3"/>
      <x:c r="U157" s="3"/>
      <x:c r="V157" s="3"/>
      <x:c r="W157" s="3"/>
      <x:c r="X157" s="3"/>
      <x:c r="Y157" s="3"/>
      <x:c r="Z157" s="3"/>
      <x:c r="AA157" s="3"/>
      <x:c r="AB157" s="3"/>
    </x:row>
    <x:row r="158" ht="21" customHeight="1">
      <x:c r="A158" s="2"/>
      <x:c r="B158" s="3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3"/>
      <x:c r="Q158" s="3"/>
      <x:c r="R158" s="3"/>
      <x:c r="S158" s="3"/>
      <x:c r="T158" s="3"/>
      <x:c r="U158" s="3"/>
      <x:c r="V158" s="3"/>
      <x:c r="W158" s="3"/>
      <x:c r="X158" s="3"/>
      <x:c r="Y158" s="3"/>
      <x:c r="Z158" s="3"/>
      <x:c r="AA158" s="3"/>
      <x:c r="AB158" s="3"/>
    </x:row>
    <x:row r="159" ht="21" customHeight="1">
      <x:c r="A159" s="2"/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3"/>
      <x:c r="Q159" s="3"/>
      <x:c r="R159" s="3"/>
      <x:c r="S159" s="3"/>
      <x:c r="T159" s="3"/>
      <x:c r="U159" s="3"/>
      <x:c r="V159" s="3"/>
      <x:c r="W159" s="3"/>
      <x:c r="X159" s="3"/>
      <x:c r="Y159" s="3"/>
      <x:c r="Z159" s="3"/>
      <x:c r="AA159" s="3"/>
      <x:c r="AB159" s="3"/>
    </x:row>
    <x:row r="160" ht="21" customHeight="1">
      <x:c r="A160" s="2"/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3"/>
      <x:c r="Q160" s="3"/>
      <x:c r="R160" s="3"/>
      <x:c r="S160" s="3"/>
      <x:c r="T160" s="3"/>
      <x:c r="U160" s="3"/>
      <x:c r="V160" s="3"/>
      <x:c r="W160" s="3"/>
      <x:c r="X160" s="3"/>
      <x:c r="Y160" s="3"/>
      <x:c r="Z160" s="3"/>
      <x:c r="AA160" s="3"/>
      <x:c r="AB160" s="3"/>
    </x:row>
    <x:row r="161" ht="21" customHeight="1">
      <x:c r="A161" s="2"/>
      <x:c r="B161" s="3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3"/>
      <x:c r="Q161" s="3"/>
      <x:c r="R161" s="3"/>
      <x:c r="S161" s="3"/>
      <x:c r="T161" s="3"/>
      <x:c r="U161" s="3"/>
      <x:c r="V161" s="3"/>
      <x:c r="W161" s="3"/>
      <x:c r="X161" s="3"/>
      <x:c r="Y161" s="3"/>
      <x:c r="Z161" s="3"/>
      <x:c r="AA161" s="3"/>
      <x:c r="AB161" s="3"/>
    </x:row>
    <x:row r="162" ht="21" customHeight="1">
      <x:c r="A162" s="2"/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3"/>
      <x:c r="Q162" s="3"/>
      <x:c r="R162" s="3"/>
      <x:c r="S162" s="3"/>
      <x:c r="T162" s="3"/>
      <x:c r="U162" s="3"/>
      <x:c r="V162" s="3"/>
      <x:c r="W162" s="3"/>
      <x:c r="X162" s="3"/>
      <x:c r="Y162" s="3"/>
      <x:c r="Z162" s="3"/>
      <x:c r="AA162" s="3"/>
      <x:c r="AB162" s="3"/>
    </x:row>
    <x:row r="163" ht="21" customHeight="1">
      <x:c r="A163" s="2"/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3"/>
      <x:c r="Q163" s="3"/>
      <x:c r="R163" s="3"/>
      <x:c r="S163" s="3"/>
      <x:c r="T163" s="3"/>
      <x:c r="U163" s="3"/>
      <x:c r="V163" s="3"/>
      <x:c r="W163" s="3"/>
      <x:c r="X163" s="3"/>
      <x:c r="Y163" s="3"/>
      <x:c r="Z163" s="3"/>
      <x:c r="AA163" s="3"/>
      <x:c r="AB163" s="3"/>
    </x:row>
    <x:row r="164" ht="21" customHeight="1">
      <x:c r="A164" s="2"/>
      <x:c r="B164" s="3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3"/>
      <x:c r="Q164" s="3"/>
      <x:c r="R164" s="3"/>
      <x:c r="S164" s="3"/>
      <x:c r="T164" s="3"/>
      <x:c r="U164" s="3"/>
      <x:c r="V164" s="3"/>
      <x:c r="W164" s="3"/>
      <x:c r="X164" s="3"/>
      <x:c r="Y164" s="3"/>
      <x:c r="Z164" s="3"/>
      <x:c r="AA164" s="3"/>
      <x:c r="AB164" s="3"/>
    </x:row>
    <x:row r="165" ht="21" customHeight="1">
      <x:c r="A165" s="2"/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3"/>
      <x:c r="Q165" s="3"/>
      <x:c r="R165" s="3"/>
      <x:c r="S165" s="3"/>
      <x:c r="T165" s="3"/>
      <x:c r="U165" s="3"/>
      <x:c r="V165" s="3"/>
      <x:c r="W165" s="3"/>
      <x:c r="X165" s="3"/>
      <x:c r="Y165" s="3"/>
      <x:c r="Z165" s="3"/>
      <x:c r="AA165" s="3"/>
      <x:c r="AB165" s="3"/>
    </x:row>
    <x:row r="166" ht="21" customHeight="1">
      <x:c r="A166" s="2"/>
      <x:c r="B166" s="3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3"/>
      <x:c r="Q166" s="3"/>
      <x:c r="R166" s="3"/>
      <x:c r="S166" s="3"/>
      <x:c r="T166" s="3"/>
      <x:c r="U166" s="3"/>
      <x:c r="V166" s="3"/>
      <x:c r="W166" s="3"/>
      <x:c r="X166" s="3"/>
      <x:c r="Y166" s="3"/>
      <x:c r="Z166" s="3"/>
      <x:c r="AA166" s="3"/>
      <x:c r="AB166" s="3"/>
    </x:row>
    <x:row r="167" ht="21" customHeight="1">
      <x:c r="A167" s="2"/>
      <x:c r="B167" s="3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3"/>
      <x:c r="Q167" s="3"/>
      <x:c r="R167" s="3"/>
      <x:c r="S167" s="3"/>
      <x:c r="T167" s="3"/>
      <x:c r="U167" s="3"/>
      <x:c r="V167" s="3"/>
      <x:c r="W167" s="3"/>
      <x:c r="X167" s="3"/>
      <x:c r="Y167" s="3"/>
      <x:c r="Z167" s="3"/>
      <x:c r="AA167" s="3"/>
      <x:c r="AB167" s="3"/>
    </x:row>
    <x:row r="168" ht="21" customHeight="1">
      <x:c r="A168" s="2"/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3"/>
      <x:c r="Q168" s="3"/>
      <x:c r="R168" s="3"/>
      <x:c r="S168" s="3"/>
      <x:c r="T168" s="3"/>
      <x:c r="U168" s="3"/>
      <x:c r="V168" s="3"/>
      <x:c r="W168" s="3"/>
      <x:c r="X168" s="3"/>
      <x:c r="Y168" s="3"/>
      <x:c r="Z168" s="3"/>
      <x:c r="AA168" s="3"/>
      <x:c r="AB168" s="3"/>
    </x:row>
    <x:row r="169" ht="21" customHeight="1">
      <x:c r="A169" s="2"/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3"/>
      <x:c r="Q169" s="3"/>
      <x:c r="R169" s="3"/>
      <x:c r="S169" s="3"/>
      <x:c r="T169" s="3"/>
      <x:c r="U169" s="3"/>
      <x:c r="V169" s="3"/>
      <x:c r="W169" s="3"/>
      <x:c r="X169" s="3"/>
      <x:c r="Y169" s="3"/>
      <x:c r="Z169" s="3"/>
      <x:c r="AA169" s="3"/>
      <x:c r="AB169" s="3"/>
    </x:row>
    <x:row r="170" ht="21" customHeight="1">
      <x:c r="A170" s="2"/>
      <x:c r="B170" s="3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3"/>
      <x:c r="Q170" s="3"/>
      <x:c r="R170" s="3"/>
      <x:c r="S170" s="3"/>
      <x:c r="T170" s="3"/>
      <x:c r="U170" s="3"/>
      <x:c r="V170" s="3"/>
      <x:c r="W170" s="3"/>
      <x:c r="X170" s="3"/>
      <x:c r="Y170" s="3"/>
      <x:c r="Z170" s="3"/>
      <x:c r="AA170" s="3"/>
      <x:c r="AB170" s="3"/>
    </x:row>
    <x:row r="171" ht="21" customHeight="1">
      <x:c r="A171" s="2"/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3"/>
      <x:c r="Q171" s="3"/>
      <x:c r="R171" s="3"/>
      <x:c r="S171" s="3"/>
      <x:c r="T171" s="3"/>
      <x:c r="U171" s="3"/>
      <x:c r="V171" s="3"/>
      <x:c r="W171" s="3"/>
      <x:c r="X171" s="3"/>
      <x:c r="Y171" s="3"/>
      <x:c r="Z171" s="3"/>
      <x:c r="AA171" s="3"/>
      <x:c r="AB171" s="3"/>
    </x:row>
    <x:row r="172" ht="21" customHeight="1">
      <x:c r="A172" s="2"/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3"/>
      <x:c r="Q172" s="3"/>
      <x:c r="R172" s="3"/>
      <x:c r="S172" s="3"/>
      <x:c r="T172" s="3"/>
      <x:c r="U172" s="3"/>
      <x:c r="V172" s="3"/>
      <x:c r="W172" s="3"/>
      <x:c r="X172" s="3"/>
      <x:c r="Y172" s="3"/>
      <x:c r="Z172" s="3"/>
      <x:c r="AA172" s="3"/>
      <x:c r="AB172" s="3"/>
    </x:row>
    <x:row r="173" ht="21" customHeight="1">
      <x:c r="A173" s="2"/>
      <x:c r="B173" s="3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3"/>
      <x:c r="Q173" s="3"/>
      <x:c r="R173" s="3"/>
      <x:c r="S173" s="3"/>
      <x:c r="T173" s="3"/>
      <x:c r="U173" s="3"/>
      <x:c r="V173" s="3"/>
      <x:c r="W173" s="3"/>
      <x:c r="X173" s="3"/>
      <x:c r="Y173" s="3"/>
      <x:c r="Z173" s="3"/>
      <x:c r="AA173" s="3"/>
      <x:c r="AB173" s="3"/>
    </x:row>
    <x:row r="174" ht="21" customHeight="1">
      <x:c r="A174" s="2"/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3"/>
      <x:c r="Q174" s="3"/>
      <x:c r="R174" s="3"/>
      <x:c r="S174" s="3"/>
      <x:c r="T174" s="3"/>
      <x:c r="U174" s="3"/>
      <x:c r="V174" s="3"/>
      <x:c r="W174" s="3"/>
      <x:c r="X174" s="3"/>
      <x:c r="Y174" s="3"/>
      <x:c r="Z174" s="3"/>
      <x:c r="AA174" s="3"/>
      <x:c r="AB174" s="3"/>
    </x:row>
    <x:row r="175" ht="21" customHeight="1">
      <x:c r="A175" s="2"/>
      <x:c r="B175" s="3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3"/>
      <x:c r="Q175" s="3"/>
      <x:c r="R175" s="3"/>
      <x:c r="S175" s="3"/>
      <x:c r="T175" s="3"/>
      <x:c r="U175" s="3"/>
      <x:c r="V175" s="3"/>
      <x:c r="W175" s="3"/>
      <x:c r="X175" s="3"/>
      <x:c r="Y175" s="3"/>
      <x:c r="Z175" s="3"/>
      <x:c r="AA175" s="3"/>
      <x:c r="AB175" s="3"/>
    </x:row>
    <x:row r="176" ht="21" customHeight="1">
      <x:c r="A176" s="2"/>
      <x:c r="B176" s="3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3"/>
      <x:c r="Q176" s="3"/>
      <x:c r="R176" s="3"/>
      <x:c r="S176" s="3"/>
      <x:c r="T176" s="3"/>
      <x:c r="U176" s="3"/>
      <x:c r="V176" s="3"/>
      <x:c r="W176" s="3"/>
      <x:c r="X176" s="3"/>
      <x:c r="Y176" s="3"/>
      <x:c r="Z176" s="3"/>
      <x:c r="AA176" s="3"/>
      <x:c r="AB176" s="3"/>
    </x:row>
    <x:row r="177" ht="21" customHeight="1">
      <x:c r="A177" s="2"/>
      <x:c r="B177" s="3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3"/>
      <x:c r="Q177" s="3"/>
      <x:c r="R177" s="3"/>
      <x:c r="S177" s="3"/>
      <x:c r="T177" s="3"/>
      <x:c r="U177" s="3"/>
      <x:c r="V177" s="3"/>
      <x:c r="W177" s="3"/>
      <x:c r="X177" s="3"/>
      <x:c r="Y177" s="3"/>
      <x:c r="Z177" s="3"/>
      <x:c r="AA177" s="3"/>
      <x:c r="AB177" s="3"/>
    </x:row>
    <x:row r="178" ht="21" customHeight="1">
      <x:c r="A178" s="2"/>
      <x:c r="B178" s="3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3"/>
      <x:c r="Q178" s="3"/>
      <x:c r="R178" s="3"/>
      <x:c r="S178" s="3"/>
      <x:c r="T178" s="3"/>
      <x:c r="U178" s="3"/>
      <x:c r="V178" s="3"/>
      <x:c r="W178" s="3"/>
      <x:c r="X178" s="3"/>
      <x:c r="Y178" s="3"/>
      <x:c r="Z178" s="3"/>
      <x:c r="AA178" s="3"/>
      <x:c r="AB178" s="3"/>
    </x:row>
    <x:row r="179" ht="21" customHeight="1">
      <x:c r="A179" s="2"/>
      <x:c r="B179" s="3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3"/>
      <x:c r="Q179" s="3"/>
      <x:c r="R179" s="3"/>
      <x:c r="S179" s="3"/>
      <x:c r="T179" s="3"/>
      <x:c r="U179" s="3"/>
      <x:c r="V179" s="3"/>
      <x:c r="W179" s="3"/>
      <x:c r="X179" s="3"/>
      <x:c r="Y179" s="3"/>
      <x:c r="Z179" s="3"/>
      <x:c r="AA179" s="3"/>
      <x:c r="AB179" s="3"/>
    </x:row>
    <x:row r="180" ht="21" customHeight="1">
      <x:c r="A180" s="2"/>
      <x:c r="B180" s="3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3"/>
      <x:c r="Q180" s="3"/>
      <x:c r="R180" s="3"/>
      <x:c r="S180" s="3"/>
      <x:c r="T180" s="3"/>
      <x:c r="U180" s="3"/>
      <x:c r="V180" s="3"/>
      <x:c r="W180" s="3"/>
      <x:c r="X180" s="3"/>
      <x:c r="Y180" s="3"/>
      <x:c r="Z180" s="3"/>
      <x:c r="AA180" s="3"/>
      <x:c r="AB180" s="3"/>
    </x:row>
  </x:sheetData>
  <x:mergeCells>
    <x:mergeCell ref="A1:G1"/>
    <x:mergeCell ref="A2:G2"/>
    <x:mergeCell ref="A46:G46"/>
    <x:mergeCell ref="A48:G48"/>
  </x:mergeCells>
  <x:conditionalFormatting sqref="C52:G56">
    <x:cfRule type="cellIs" dxfId="6" priority="1" operator="notBetween">
      <x:formula>-0.00001</x:formula>
      <x:formula>0.00001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6354A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43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32" customHeight="1">
      <x:c r="A1" s="6" t="str">
        <x:v>Допущения • изменяемые значения синим</x:v>
      </x:c>
      <x:c r="B1" s="7"/>
      <x:c r="C1" s="7"/>
      <x:c r="D1" s="7"/>
      <x:c r="E1" s="7"/>
      <x:c r="F1" s="7"/>
      <x:c r="G1" s="7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</x:row>
    <x:row r="2" ht="32" customHeight="1">
      <x:c r="A2" s="10" t="str">
        <x:v>Площади — тыс. м². Общие продажи заданы пользователем 27.10.2026; все расчеты связаны формулами.</x:v>
      </x:c>
      <x:c r="B2" s="11"/>
      <x:c r="C2" s="11"/>
      <x:c r="D2" s="11"/>
      <x:c r="E2" s="11"/>
      <x:c r="F2" s="11"/>
      <x:c r="G2" s="11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</x:row>
    <x:row r="3" ht="21" customHeight="1">
      <x:c r="A3" s="2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  <x:c r="AA3" s="3"/>
      <x:c r="AB3" s="3"/>
    </x:row>
    <x:row r="4" ht="42" customHeight="1">
      <x:c r="A4" s="18"/>
      <x:c r="B4" s="29" t="n">
        <x:v>2026</x:v>
      </x:c>
      <x:c r="C4" s="29" t="n">
        <x:v>2027</x:v>
      </x:c>
      <x:c r="D4" s="29" t="n">
        <x:v>2028</x:v>
      </x:c>
      <x:c r="E4" s="29" t="n">
        <x:v>2029</x:v>
      </x:c>
      <x:c r="F4" s="29" t="n">
        <x:v>2030</x:v>
      </x:c>
      <x:c r="G4" s="29" t="n">
        <x:v>2031</x:v>
      </x:c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</x:row>
    <x:row r="5" ht="21" customHeight="1">
      <x:c r="A5" s="2" t="str">
        <x:v>Продажи за полный год</x:v>
      </x:c>
      <x:c r="B5" s="30" t="n">
        <x:v>2652</x:v>
      </x:c>
      <x:c r="C5" s="30" t="n">
        <x:v>2736</x:v>
      </x:c>
      <x:c r="D5" s="30" t="n">
        <x:v>3140</x:v>
      </x:c>
      <x:c r="E5" s="30" t="n">
        <x:v>3320</x:v>
      </x:c>
      <x:c r="F5" s="30" t="n">
        <x:v>3327</x:v>
      </x:c>
      <x:c r="G5" s="20" t="n">
        <x:f>F5</x:f>
        <x:v>3327</x:v>
      </x:c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  <x:c r="AA5" s="3"/>
      <x:c r="AB5" s="3"/>
    </x:row>
    <x:row r="6" ht="21" customHeight="1">
      <x:c r="A6" s="2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  <x:c r="AA6" s="3"/>
      <x:c r="AB6" s="3"/>
    </x:row>
    <x:row r="7" ht="21" customHeight="1">
      <x:c r="A7" s="2" t="str">
        <x:v>Перенос ввода на следующий год</x:v>
      </x:c>
      <x:c r="B7" s="31" t="n">
        <x:v>0.2</x:v>
      </x:c>
      <x:c r="C7" s="31" t="n">
        <x:v>0.15</x:v>
      </x:c>
      <x:c r="D7" s="31" t="n">
        <x:v>0.1</x:v>
      </x:c>
      <x:c r="E7" s="31" t="n">
        <x:v>0.05</x:v>
      </x:c>
      <x:c r="F7" s="31" t="n">
        <x:v>0.05</x:v>
      </x:c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  <x:c r="AA7" s="3"/>
      <x:c r="AB7" s="3"/>
    </x:row>
    <x:row r="8" ht="21" customHeight="1">
      <x:c r="A8" s="2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  <x:c r="AA8" s="3"/>
      <x:c r="AB8" s="3"/>
    </x:row>
    <x:row r="9" ht="21" customHeight="1">
      <x:c r="A9" s="2" t="str">
        <x:v>Скорость подстройки запусков</x:v>
      </x:c>
      <x:c r="B9" s="31" t="n">
        <x:v>0.5</x:v>
      </x:c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  <x:c r="V9" s="3"/>
      <x:c r="W9" s="3"/>
      <x:c r="X9" s="3"/>
      <x:c r="Y9" s="3"/>
      <x:c r="Z9" s="3"/>
      <x:c r="AA9" s="3"/>
      <x:c r="AB9" s="3"/>
    </x:row>
    <x:row r="10" ht="21" customHeight="1">
      <x:c r="A10" s="2" t="str">
        <x:v>Запуски / ожидаемые продажи</x:v>
      </x:c>
      <x:c r="B10" s="32" t="n">
        <x:v>1.149</x:v>
      </x:c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  <x:c r="AA10" s="3"/>
      <x:c r="AB10" s="3"/>
    </x:row>
    <x:row r="11" ht="21" customHeight="1">
      <x:c r="A11" s="2" t="str">
        <x:v>Корректировка начального портфеля</x:v>
      </x:c>
      <x:c r="B11" s="33" t="n">
        <x:v>-0.001123286471919231</x:v>
      </x:c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  <x:c r="V11" s="3"/>
      <x:c r="W11" s="3"/>
      <x:c r="X11" s="3"/>
      <x:c r="Y11" s="3"/>
      <x:c r="Z11" s="3"/>
      <x:c r="AA11" s="3"/>
      <x:c r="AB11" s="3"/>
    </x:row>
    <x:row r="12" ht="21" customHeight="1">
      <x:c r="A12" s="2" t="str">
        <x:v>Общие запуски 2026</x:v>
      </x:c>
      <x:c r="B12" s="30" t="n">
        <x:v>2534</x:v>
      </x:c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"/>
      <x:c r="T12" s="3"/>
      <x:c r="U12" s="3"/>
      <x:c r="V12" s="3"/>
      <x:c r="W12" s="3"/>
      <x:c r="X12" s="3"/>
      <x:c r="Y12" s="3"/>
      <x:c r="Z12" s="3"/>
      <x:c r="AA12" s="3"/>
      <x:c r="AB12" s="3"/>
    </x:row>
    <x:row r="13" ht="21" customHeight="1">
      <x:c r="A13" s="2" t="str">
        <x:v>Инерция структуры продаж</x:v>
      </x:c>
      <x:c r="B13" s="34" t="n">
        <x:v>0.5</x:v>
      </x:c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  <x:c r="AA13" s="3"/>
      <x:c r="AB13" s="3"/>
    </x:row>
    <x:row r="14" ht="21" customHeight="1">
      <x:c r="A14" s="2" t="str">
        <x:v>Доля остатка IV квартала: 69/92</x:v>
      </x:c>
      <x:c r="B14" s="34" t="n">
        <x:v>0.75</x:v>
      </x:c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  <x:c r="AA14" s="3"/>
      <x:c r="AB14" s="3"/>
    </x:row>
    <x:row r="15" ht="21" customHeight="1">
      <x:c r="A15" s="2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  <x:c r="AA15" s="3"/>
      <x:c r="AB15" s="3"/>
    </x:row>
    <x:row r="16" ht="21" customHeight="1">
      <x:c r="A16" s="2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  <x:c r="AA16" s="3"/>
      <x:c r="AB16" s="3"/>
    </x:row>
    <x:row r="17" ht="42" customHeight="1">
      <x:c r="A17" s="18" t="str">
        <x:v>Класс</x:v>
      </x:c>
      <x:c r="B17" s="19" t="str">
        <x:v>Ориентир 2026</x:v>
      </x:c>
      <x:c r="C17" s="19" t="str">
        <x:v>Доля с 2027</x:v>
      </x:c>
      <x:c r="D17" s="19" t="str">
        <x:v>Уже в матрице</x:v>
      </x:c>
      <x:c r="E17" s="19" t="str">
        <x:v>Положит. разрыв</x:v>
      </x:c>
      <x:c r="F17" s="19" t="str">
        <x:v>Еще запустить 2026</x:v>
      </x:c>
      <x:c r="G17" s="19" t="str">
        <x:v>Итого 2026</x:v>
      </x:c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  <x:c r="AA17" s="3"/>
      <x:c r="AB17" s="3"/>
    </x:row>
    <x:row r="18" ht="21" customHeight="1">
      <x:c r="A18" s="2" t="str">
        <x:v>Эконом/комфорт</x:v>
      </x:c>
      <x:c r="B18" s="30" t="n">
        <x:v>934</x:v>
      </x:c>
      <x:c r="C18" s="25" t="n">
        <x:f>B18/SUM($B$18:$B$20)</x:f>
        <x:v>0.3685872138910813</x:v>
      </x:c>
      <x:c r="D18" s="24" t="n">
        <x:f>'Данные'!C39</x:f>
        <x:v>701.9852700000001</x:v>
      </x:c>
      <x:c r="E18" s="20" t="n">
        <x:f>MAX(0,B18-D18)</x:f>
        <x:v>232.01472999999987</x:v>
      </x:c>
      <x:c r="F18" s="20" t="n">
        <x:f>($B$12-SUM($D$18:$D$20))*E18/SUM($E$18:$E$20)</x:f>
        <x:v>205.93255394393304</x:v>
      </x:c>
      <x:c r="G18" s="20" t="n">
        <x:f>D18+F18</x:f>
        <x:v>907.9178239439332</x:v>
      </x:c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  <x:c r="AA18" s="3"/>
      <x:c r="AB18" s="3"/>
    </x:row>
    <x:row r="19" ht="21" customHeight="1">
      <x:c r="A19" s="2" t="str">
        <x:v>Бизнес</x:v>
      </x:c>
      <x:c r="B19" s="30" t="n">
        <x:v>850</x:v>
      </x:c>
      <x:c r="C19" s="25" t="n">
        <x:f>B19/SUM($B$18:$B$20)</x:f>
        <x:v>0.3354380426203631</x:v>
      </x:c>
      <x:c r="D19" s="24" t="n">
        <x:f>'Данные'!C40</x:f>
        <x:v>438.54860999999994</x:v>
      </x:c>
      <x:c r="E19" s="20" t="n">
        <x:f>MAX(0,B19-D19)</x:f>
        <x:v>411.45139000000006</x:v>
      </x:c>
      <x:c r="F19" s="20" t="n">
        <x:f>($B$12-SUM($D$18:$D$20))*E19/SUM($E$18:$E$20)</x:f>
        <x:v>365.1976560560672</x:v>
      </x:c>
      <x:c r="G19" s="20" t="n">
        <x:f>D19+F19</x:f>
        <x:v>803.7462660560672</x:v>
      </x:c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  <x:c r="AA19" s="3"/>
      <x:c r="AB19" s="3"/>
    </x:row>
    <x:row r="20" ht="21" customHeight="1">
      <x:c r="A20" s="2" t="str">
        <x:v>Элитный</x:v>
      </x:c>
      <x:c r="B20" s="30" t="n">
        <x:v>750</x:v>
      </x:c>
      <x:c r="C20" s="25" t="n">
        <x:f>B20/SUM($B$18:$B$20)</x:f>
        <x:v>0.2959747434885556</x:v>
      </x:c>
      <x:c r="D20" s="24" t="n">
        <x:f>'Данные'!C41</x:f>
        <x:v>822.3359099999999</x:v>
      </x:c>
      <x:c r="E20" s="20" t="n">
        <x:f>MAX(0,B20-D20)</x:f>
        <x:v>0</x:v>
      </x:c>
      <x:c r="F20" s="20" t="n">
        <x:f>($B$12-SUM($D$18:$D$20))*E20/SUM($E$18:$E$20)</x:f>
        <x:v>0</x:v>
      </x:c>
      <x:c r="G20" s="20" t="n">
        <x:f>D20+F20</x:f>
        <x:v>822.3359099999999</x:v>
      </x:c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  <x:c r="AA20" s="3"/>
      <x:c r="AB20" s="3"/>
    </x:row>
    <x:row r="21" ht="21" customHeight="1">
      <x:c r="A21" s="2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  <x:c r="AA21" s="3"/>
      <x:c r="AB21" s="3"/>
    </x:row>
    <x:row r="22" ht="21" customHeight="1">
      <x:c r="A22" s="2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  <x:c r="AA22" s="3"/>
      <x:c r="AB22" s="3"/>
    </x:row>
    <x:row r="23" ht="42" customHeight="1">
      <x:c r="A23" s="18" t="str">
        <x:v>Профиль ввода</x:v>
      </x:c>
      <x:c r="B23" s="19" t="str">
        <x:v>В год запуска</x:v>
      </x:c>
      <x:c r="C23" s="19" t="str">
        <x:v>Через 1 год</x:v>
      </x:c>
      <x:c r="D23" s="19" t="str">
        <x:v>Через 2 года</x:v>
      </x:c>
      <x:c r="E23" s="19" t="str">
        <x:v>Через 3 года</x:v>
      </x:c>
      <x:c r="F23" s="19" t="str">
        <x:v>Через 4 года</x:v>
      </x:c>
      <x:c r="G23" s="19" t="str">
        <x:v>Через 5 лет</x:v>
      </x:c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/>
      <x:c r="V23" s="3"/>
      <x:c r="W23" s="3"/>
      <x:c r="X23" s="3"/>
      <x:c r="Y23" s="3"/>
      <x:c r="Z23" s="3"/>
      <x:c r="AA23" s="3"/>
      <x:c r="AB23" s="3"/>
    </x:row>
    <x:row r="24" ht="21" customHeight="1">
      <x:c r="A24" s="2" t="str">
        <x:v>Эконом/комфорт</x:v>
      </x:c>
      <x:c r="B24" s="35" t="n">
        <x:v>0</x:v>
      </x:c>
      <x:c r="C24" s="35" t="n">
        <x:v>0.1780801330056973</x:v>
      </x:c>
      <x:c r="D24" s="35" t="n">
        <x:v>0.38139329025787067</x:v>
      </x:c>
      <x:c r="E24" s="35" t="n">
        <x:v>0.3637901106970448</x:v>
      </x:c>
      <x:c r="F24" s="35" t="n">
        <x:v>0.06391196962173026</x:v>
      </x:c>
      <x:c r="G24" s="35" t="n">
        <x:v>0.012824496417657164</x:v>
      </x:c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/>
      <x:c r="V24" s="3"/>
      <x:c r="W24" s="3"/>
      <x:c r="X24" s="3"/>
      <x:c r="Y24" s="3"/>
      <x:c r="Z24" s="3"/>
      <x:c r="AA24" s="3"/>
      <x:c r="AB24" s="3"/>
    </x:row>
    <x:row r="25" ht="21" customHeight="1">
      <x:c r="A25" s="2" t="str">
        <x:v>Бизнес</x:v>
      </x:c>
      <x:c r="B25" s="35" t="n">
        <x:v>0</x:v>
      </x:c>
      <x:c r="C25" s="35" t="n">
        <x:v>0.01007452755943122</x:v>
      </x:c>
      <x:c r="D25" s="35" t="n">
        <x:v>0.05974320786433883</x:v>
      </x:c>
      <x:c r="E25" s="35" t="n">
        <x:v>0.3295469581467272</x:v>
      </x:c>
      <x:c r="F25" s="35" t="n">
        <x:v>0.5587907569717679</x:v>
      </x:c>
      <x:c r="G25" s="35" t="n">
        <x:v>0.041844549457735</x:v>
      </x:c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  <x:c r="W25" s="3"/>
      <x:c r="X25" s="3"/>
      <x:c r="Y25" s="3"/>
      <x:c r="Z25" s="3"/>
      <x:c r="AA25" s="3"/>
      <x:c r="AB25" s="3"/>
    </x:row>
    <x:row r="26" ht="21" customHeight="1">
      <x:c r="A26" s="2" t="str">
        <x:v>Элитный</x:v>
      </x:c>
      <x:c r="B26" s="35" t="n">
        <x:v>0</x:v>
      </x:c>
      <x:c r="C26" s="35" t="n">
        <x:v>0.000634135113967879</x:v>
      </x:c>
      <x:c r="D26" s="35" t="n">
        <x:v>0.0282107540677608</x:v>
      </x:c>
      <x:c r="E26" s="35" t="n">
        <x:v>0.4427733298782449</x:v>
      </x:c>
      <x:c r="F26" s="35" t="n">
        <x:v>0.30033741886994375</x:v>
      </x:c>
      <x:c r="G26" s="35" t="n">
        <x:v>0.22804436207008238</x:v>
      </x:c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/>
      <x:c r="X26" s="3"/>
      <x:c r="Y26" s="3"/>
      <x:c r="Z26" s="3"/>
      <x:c r="AA26" s="3"/>
      <x:c r="AB26" s="3"/>
    </x:row>
    <x:row r="27" ht="21" customHeight="1">
      <x:c r="A27" s="2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  <x:c r="AA27" s="3"/>
      <x:c r="AB27" s="3"/>
    </x:row>
    <x:row r="28" ht="21" customHeight="1">
      <x:c r="A28" s="2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  <x:c r="AA28" s="3"/>
      <x:c r="AB28" s="3"/>
    </x:row>
    <x:row r="29" ht="42" customHeight="1">
      <x:c r="A29" s="18" t="str">
        <x:v>Веса продаж по вводу</x:v>
      </x:c>
      <x:c r="B29" s="19" t="str">
        <x:v>Текущий год</x:v>
      </x:c>
      <x:c r="C29" s="19" t="str">
        <x:v>Через 1 год</x:v>
      </x:c>
      <x:c r="D29" s="19" t="str">
        <x:v>Через 2 года</x:v>
      </x:c>
      <x:c r="E29" s="19" t="str">
        <x:v>Через 3 года</x:v>
      </x:c>
      <x:c r="F29" s="19" t="str">
        <x:v>Через 4 года</x:v>
      </x:c>
      <x:c r="G29" s="19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  <x:c r="AA29" s="3"/>
      <x:c r="AB29" s="3"/>
    </x:row>
    <x:row r="30" ht="21" customHeight="1">
      <x:c r="A30" s="2" t="str">
        <x:v>Все классы</x:v>
      </x:c>
      <x:c r="B30" s="35" t="n">
        <x:v>0.1357</x:v>
      </x:c>
      <x:c r="C30" s="35" t="n">
        <x:v>0.3612</x:v>
      </x:c>
      <x:c r="D30" s="35" t="n">
        <x:v>0.3111</x:v>
      </x:c>
      <x:c r="E30" s="35" t="n">
        <x:v>0.1495</x:v>
      </x:c>
      <x:c r="F30" s="35" t="n">
        <x:v>0.0425</x:v>
      </x:c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  <x:c r="AA30" s="3"/>
      <x:c r="AB30" s="3"/>
    </x:row>
    <x:row r="31" ht="21" customHeight="1">
      <x:c r="A31" s="2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  <x:c r="AA31" s="3"/>
      <x:c r="AB31" s="3"/>
    </x:row>
    <x:row r="32" ht="21" customHeight="1">
      <x:c r="A32" s="2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  <x:c r="AA32" s="3"/>
      <x:c r="AB32" s="3"/>
    </x:row>
    <x:row r="33" ht="42" customHeight="1">
      <x:c r="A33" s="10" t="str">
        <x:v>2026: техническое согласование классов с матрицей. Отрицательные остатки запусков не допускаются; целевые доли применяются с 2027 года.</x:v>
      </x:c>
      <x:c r="B33" s="11"/>
      <x:c r="C33" s="11"/>
      <x:c r="D33" s="11"/>
      <x:c r="E33" s="11"/>
      <x:c r="F33" s="11"/>
      <x:c r="G33" s="11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  <x:c r="AA33" s="3"/>
      <x:c r="AB33" s="3"/>
    </x:row>
    <x:row r="34" ht="21" customHeight="1">
      <x:c r="A34" s="2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  <x:c r="AA34" s="3"/>
      <x:c r="AB34" s="3"/>
    </x:row>
    <x:row r="35" ht="42" customHeight="1">
      <x:c r="A35" s="10" t="str">
        <x:v>Распроданность зависит от допущений о продажах после среза и их распределении по годам ввода. Подробные определения и источники — на листе «Данные».</x:v>
      </x:c>
      <x:c r="B35" s="11"/>
      <x:c r="C35" s="11"/>
      <x:c r="D35" s="11"/>
      <x:c r="E35" s="11"/>
      <x:c r="F35" s="11"/>
      <x:c r="G35" s="11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  <x:c r="AA35" s="3"/>
      <x:c r="AB35" s="3"/>
    </x:row>
    <x:row r="36" ht="21" customHeight="1">
      <x:c r="A36" s="2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  <x:c r="AA36" s="3"/>
      <x:c r="AB36" s="3"/>
    </x:row>
    <x:row r="37" ht="21" customHeight="1">
      <x:c r="A37" s="2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  <x:c r="AA37" s="3"/>
      <x:c r="AB37" s="3"/>
    </x:row>
    <x:row r="38" ht="21" customHeight="1">
      <x:c r="A38" s="2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  <x:c r="AA38" s="3"/>
      <x:c r="AB38" s="3"/>
    </x:row>
    <x:row r="39" ht="21" customHeight="1">
      <x:c r="A39" s="2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  <x:c r="AA39" s="3"/>
      <x:c r="AB39" s="3"/>
    </x:row>
    <x:row r="40" ht="21" customHeight="1">
      <x:c r="A40" s="2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  <x:c r="AA40" s="3"/>
      <x:c r="AB40" s="3"/>
    </x:row>
    <x:row r="41" ht="21" customHeight="1">
      <x:c r="A41" s="2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  <x:c r="AA41" s="3"/>
      <x:c r="AB41" s="3"/>
    </x:row>
    <x:row r="42" ht="21" customHeight="1">
      <x:c r="A42" s="2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  <x:c r="AA42" s="3"/>
      <x:c r="AB42" s="3"/>
    </x:row>
    <x:row r="43" ht="21" customHeight="1">
      <x:c r="A43" s="2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  <x:c r="AA43" s="3"/>
      <x:c r="AB43" s="3"/>
    </x:row>
    <x:row r="44" ht="21" customHeight="1">
      <x:c r="A44" s="2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  <x:c r="AA44" s="3"/>
      <x:c r="AB44" s="3"/>
    </x:row>
    <x:row r="45" ht="21" customHeight="1">
      <x:c r="A45" s="2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  <x:c r="AA45" s="3"/>
      <x:c r="AB45" s="3"/>
    </x:row>
    <x:row r="46" ht="21" customHeight="1">
      <x:c r="A46" s="2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  <x:c r="AA46" s="3"/>
      <x:c r="AB46" s="3"/>
    </x:row>
    <x:row r="47" ht="21" customHeight="1">
      <x:c r="A47" s="2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  <x:c r="AA47" s="3"/>
      <x:c r="AB47" s="3"/>
    </x:row>
    <x:row r="48" ht="21" customHeight="1">
      <x:c r="A48" s="2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  <x:c r="AA48" s="3"/>
      <x:c r="AB48" s="3"/>
    </x:row>
    <x:row r="49" ht="21" customHeight="1">
      <x:c r="A49" s="2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  <x:c r="Y49" s="3"/>
      <x:c r="Z49" s="3"/>
      <x:c r="AA49" s="3"/>
      <x:c r="AB49" s="3"/>
    </x:row>
    <x:row r="50" ht="21" customHeight="1">
      <x:c r="A50" s="2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  <x:c r="Y50" s="3"/>
      <x:c r="Z50" s="3"/>
      <x:c r="AA50" s="3"/>
      <x:c r="AB50" s="3"/>
    </x:row>
    <x:row r="51" ht="21" customHeight="1">
      <x:c r="A51" s="2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  <x:c r="Y51" s="3"/>
      <x:c r="Z51" s="3"/>
      <x:c r="AA51" s="3"/>
      <x:c r="AB51" s="3"/>
    </x:row>
    <x:row r="52" ht="21" customHeight="1">
      <x:c r="A52" s="2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  <x:c r="AA52" s="3"/>
      <x:c r="AB52" s="3"/>
    </x:row>
    <x:row r="53" ht="21" customHeight="1">
      <x:c r="A53" s="2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  <x:c r="AA53" s="3"/>
      <x:c r="AB53" s="3"/>
    </x:row>
    <x:row r="54" ht="21" customHeight="1">
      <x:c r="A54" s="2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  <x:c r="AA54" s="3"/>
      <x:c r="AB54" s="3"/>
    </x:row>
    <x:row r="55" ht="21" customHeight="1">
      <x:c r="A55" s="2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  <x:c r="AA55" s="3"/>
      <x:c r="AB55" s="3"/>
    </x:row>
    <x:row r="56" ht="21" customHeight="1">
      <x:c r="A56" s="2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/>
      <x:c r="X56" s="3"/>
      <x:c r="Y56" s="3"/>
      <x:c r="Z56" s="3"/>
      <x:c r="AA56" s="3"/>
      <x:c r="AB56" s="3"/>
    </x:row>
    <x:row r="57" ht="21" customHeight="1">
      <x:c r="A57" s="2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  <x:c r="V57" s="3"/>
      <x:c r="W57" s="3"/>
      <x:c r="X57" s="3"/>
      <x:c r="Y57" s="3"/>
      <x:c r="Z57" s="3"/>
      <x:c r="AA57" s="3"/>
      <x:c r="AB57" s="3"/>
    </x:row>
    <x:row r="58" ht="21" customHeight="1">
      <x:c r="A58" s="2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  <x:c r="V58" s="3"/>
      <x:c r="W58" s="3"/>
      <x:c r="X58" s="3"/>
      <x:c r="Y58" s="3"/>
      <x:c r="Z58" s="3"/>
      <x:c r="AA58" s="3"/>
      <x:c r="AB58" s="3"/>
    </x:row>
    <x:row r="59" ht="21" customHeight="1">
      <x:c r="A59" s="2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  <x:c r="V59" s="3"/>
      <x:c r="W59" s="3"/>
      <x:c r="X59" s="3"/>
      <x:c r="Y59" s="3"/>
      <x:c r="Z59" s="3"/>
      <x:c r="AA59" s="3"/>
      <x:c r="AB59" s="3"/>
    </x:row>
    <x:row r="60" ht="21" customHeight="1">
      <x:c r="A60" s="2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  <x:c r="V60" s="3"/>
      <x:c r="W60" s="3"/>
      <x:c r="X60" s="3"/>
      <x:c r="Y60" s="3"/>
      <x:c r="Z60" s="3"/>
      <x:c r="AA60" s="3"/>
      <x:c r="AB60" s="3"/>
    </x:row>
    <x:row r="61" ht="21" customHeight="1">
      <x:c r="A61" s="2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  <x:c r="V61" s="3"/>
      <x:c r="W61" s="3"/>
      <x:c r="X61" s="3"/>
      <x:c r="Y61" s="3"/>
      <x:c r="Z61" s="3"/>
      <x:c r="AA61" s="3"/>
      <x:c r="AB61" s="3"/>
    </x:row>
    <x:row r="62" ht="21" customHeight="1">
      <x:c r="A62" s="2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  <x:c r="T62" s="3"/>
      <x:c r="U62" s="3"/>
      <x:c r="V62" s="3"/>
      <x:c r="W62" s="3"/>
      <x:c r="X62" s="3"/>
      <x:c r="Y62" s="3"/>
      <x:c r="Z62" s="3"/>
      <x:c r="AA62" s="3"/>
      <x:c r="AB62" s="3"/>
    </x:row>
    <x:row r="63" ht="21" customHeight="1">
      <x:c r="A63" s="2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  <x:c r="T63" s="3"/>
      <x:c r="U63" s="3"/>
      <x:c r="V63" s="3"/>
      <x:c r="W63" s="3"/>
      <x:c r="X63" s="3"/>
      <x:c r="Y63" s="3"/>
      <x:c r="Z63" s="3"/>
      <x:c r="AA63" s="3"/>
      <x:c r="AB63" s="3"/>
    </x:row>
    <x:row r="64" ht="21" customHeight="1">
      <x:c r="A64" s="2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  <x:c r="AA64" s="3"/>
      <x:c r="AB64" s="3"/>
    </x:row>
    <x:row r="65" ht="21" customHeight="1">
      <x:c r="A65" s="2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  <x:c r="T65" s="3"/>
      <x:c r="U65" s="3"/>
      <x:c r="V65" s="3"/>
      <x:c r="W65" s="3"/>
      <x:c r="X65" s="3"/>
      <x:c r="Y65" s="3"/>
      <x:c r="Z65" s="3"/>
      <x:c r="AA65" s="3"/>
      <x:c r="AB65" s="3"/>
    </x:row>
    <x:row r="66" ht="21" customHeight="1">
      <x:c r="A66" s="2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  <x:c r="T66" s="3"/>
      <x:c r="U66" s="3"/>
      <x:c r="V66" s="3"/>
      <x:c r="W66" s="3"/>
      <x:c r="X66" s="3"/>
      <x:c r="Y66" s="3"/>
      <x:c r="Z66" s="3"/>
      <x:c r="AA66" s="3"/>
      <x:c r="AB66" s="3"/>
    </x:row>
    <x:row r="67" ht="21" customHeight="1">
      <x:c r="A67" s="2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  <x:c r="T67" s="3"/>
      <x:c r="U67" s="3"/>
      <x:c r="V67" s="3"/>
      <x:c r="W67" s="3"/>
      <x:c r="X67" s="3"/>
      <x:c r="Y67" s="3"/>
      <x:c r="Z67" s="3"/>
      <x:c r="AA67" s="3"/>
      <x:c r="AB67" s="3"/>
    </x:row>
    <x:row r="68" ht="21" customHeight="1">
      <x:c r="A68" s="2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  <x:c r="AA68" s="3"/>
      <x:c r="AB68" s="3"/>
    </x:row>
    <x:row r="69" ht="21" customHeight="1">
      <x:c r="A69" s="2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  <x:c r="T69" s="3"/>
      <x:c r="U69" s="3"/>
      <x:c r="V69" s="3"/>
      <x:c r="W69" s="3"/>
      <x:c r="X69" s="3"/>
      <x:c r="Y69" s="3"/>
      <x:c r="Z69" s="3"/>
      <x:c r="AA69" s="3"/>
      <x:c r="AB69" s="3"/>
    </x:row>
    <x:row r="70" ht="21" customHeight="1">
      <x:c r="A70" s="2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  <x:c r="T70" s="3"/>
      <x:c r="U70" s="3"/>
      <x:c r="V70" s="3"/>
      <x:c r="W70" s="3"/>
      <x:c r="X70" s="3"/>
      <x:c r="Y70" s="3"/>
      <x:c r="Z70" s="3"/>
      <x:c r="AA70" s="3"/>
      <x:c r="AB70" s="3"/>
    </x:row>
    <x:row r="71" ht="21" customHeight="1">
      <x:c r="A71" s="2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  <x:c r="T71" s="3"/>
      <x:c r="U71" s="3"/>
      <x:c r="V71" s="3"/>
      <x:c r="W71" s="3"/>
      <x:c r="X71" s="3"/>
      <x:c r="Y71" s="3"/>
      <x:c r="Z71" s="3"/>
      <x:c r="AA71" s="3"/>
      <x:c r="AB71" s="3"/>
    </x:row>
    <x:row r="72" ht="21" customHeight="1">
      <x:c r="A72" s="2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  <x:c r="T72" s="3"/>
      <x:c r="U72" s="3"/>
      <x:c r="V72" s="3"/>
      <x:c r="W72" s="3"/>
      <x:c r="X72" s="3"/>
      <x:c r="Y72" s="3"/>
      <x:c r="Z72" s="3"/>
      <x:c r="AA72" s="3"/>
      <x:c r="AB72" s="3"/>
    </x:row>
    <x:row r="73" ht="21" customHeight="1">
      <x:c r="A73" s="2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  <x:c r="T73" s="3"/>
      <x:c r="U73" s="3"/>
      <x:c r="V73" s="3"/>
      <x:c r="W73" s="3"/>
      <x:c r="X73" s="3"/>
      <x:c r="Y73" s="3"/>
      <x:c r="Z73" s="3"/>
      <x:c r="AA73" s="3"/>
      <x:c r="AB73" s="3"/>
    </x:row>
    <x:row r="74" ht="21" customHeight="1">
      <x:c r="A74" s="2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  <x:c r="T74" s="3"/>
      <x:c r="U74" s="3"/>
      <x:c r="V74" s="3"/>
      <x:c r="W74" s="3"/>
      <x:c r="X74" s="3"/>
      <x:c r="Y74" s="3"/>
      <x:c r="Z74" s="3"/>
      <x:c r="AA74" s="3"/>
      <x:c r="AB74" s="3"/>
    </x:row>
    <x:row r="75" ht="21" customHeight="1">
      <x:c r="A75" s="2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  <x:c r="T75" s="3"/>
      <x:c r="U75" s="3"/>
      <x:c r="V75" s="3"/>
      <x:c r="W75" s="3"/>
      <x:c r="X75" s="3"/>
      <x:c r="Y75" s="3"/>
      <x:c r="Z75" s="3"/>
      <x:c r="AA75" s="3"/>
      <x:c r="AB75" s="3"/>
    </x:row>
    <x:row r="76" ht="21" customHeight="1">
      <x:c r="A76" s="2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  <x:c r="T76" s="3"/>
      <x:c r="U76" s="3"/>
      <x:c r="V76" s="3"/>
      <x:c r="W76" s="3"/>
      <x:c r="X76" s="3"/>
      <x:c r="Y76" s="3"/>
      <x:c r="Z76" s="3"/>
      <x:c r="AA76" s="3"/>
      <x:c r="AB76" s="3"/>
    </x:row>
    <x:row r="77" ht="21" customHeight="1">
      <x:c r="A77" s="2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  <x:c r="AA77" s="3"/>
      <x:c r="AB77" s="3"/>
    </x:row>
    <x:row r="78" ht="21" customHeight="1">
      <x:c r="A78" s="2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  <x:c r="T78" s="3"/>
      <x:c r="U78" s="3"/>
      <x:c r="V78" s="3"/>
      <x:c r="W78" s="3"/>
      <x:c r="X78" s="3"/>
      <x:c r="Y78" s="3"/>
      <x:c r="Z78" s="3"/>
      <x:c r="AA78" s="3"/>
      <x:c r="AB78" s="3"/>
    </x:row>
    <x:row r="79" ht="21" customHeight="1">
      <x:c r="A79" s="2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  <x:c r="T79" s="3"/>
      <x:c r="U79" s="3"/>
      <x:c r="V79" s="3"/>
      <x:c r="W79" s="3"/>
      <x:c r="X79" s="3"/>
      <x:c r="Y79" s="3"/>
      <x:c r="Z79" s="3"/>
      <x:c r="AA79" s="3"/>
      <x:c r="AB79" s="3"/>
    </x:row>
    <x:row r="80" ht="21" customHeight="1">
      <x:c r="A80" s="2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  <x:c r="Q80" s="3"/>
      <x:c r="R80" s="3"/>
      <x:c r="S80" s="3"/>
      <x:c r="T80" s="3"/>
      <x:c r="U80" s="3"/>
      <x:c r="V80" s="3"/>
      <x:c r="W80" s="3"/>
      <x:c r="X80" s="3"/>
      <x:c r="Y80" s="3"/>
      <x:c r="Z80" s="3"/>
      <x:c r="AA80" s="3"/>
      <x:c r="AB80" s="3"/>
    </x:row>
    <x:row r="81" ht="21" customHeight="1">
      <x:c r="A81" s="2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  <x:c r="AA81" s="3"/>
      <x:c r="AB81" s="3"/>
    </x:row>
    <x:row r="82" ht="21" customHeight="1">
      <x:c r="A82" s="2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3"/>
      <x:c r="Q82" s="3"/>
      <x:c r="R82" s="3"/>
      <x:c r="S82" s="3"/>
      <x:c r="T82" s="3"/>
      <x:c r="U82" s="3"/>
      <x:c r="V82" s="3"/>
      <x:c r="W82" s="3"/>
      <x:c r="X82" s="3"/>
      <x:c r="Y82" s="3"/>
      <x:c r="Z82" s="3"/>
      <x:c r="AA82" s="3"/>
      <x:c r="AB82" s="3"/>
    </x:row>
    <x:row r="83" ht="21" customHeight="1">
      <x:c r="A83" s="2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3"/>
      <x:c r="Q83" s="3"/>
      <x:c r="R83" s="3"/>
      <x:c r="S83" s="3"/>
      <x:c r="T83" s="3"/>
      <x:c r="U83" s="3"/>
      <x:c r="V83" s="3"/>
      <x:c r="W83" s="3"/>
      <x:c r="X83" s="3"/>
      <x:c r="Y83" s="3"/>
      <x:c r="Z83" s="3"/>
      <x:c r="AA83" s="3"/>
      <x:c r="AB83" s="3"/>
    </x:row>
    <x:row r="84" ht="21" customHeight="1">
      <x:c r="A84" s="2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3"/>
      <x:c r="Q84" s="3"/>
      <x:c r="R84" s="3"/>
      <x:c r="S84" s="3"/>
      <x:c r="T84" s="3"/>
      <x:c r="U84" s="3"/>
      <x:c r="V84" s="3"/>
      <x:c r="W84" s="3"/>
      <x:c r="X84" s="3"/>
      <x:c r="Y84" s="3"/>
      <x:c r="Z84" s="3"/>
      <x:c r="AA84" s="3"/>
      <x:c r="AB84" s="3"/>
    </x:row>
    <x:row r="85" ht="21" customHeight="1">
      <x:c r="A85" s="2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3"/>
      <x:c r="Q85" s="3"/>
      <x:c r="R85" s="3"/>
      <x:c r="S85" s="3"/>
      <x:c r="T85" s="3"/>
      <x:c r="U85" s="3"/>
      <x:c r="V85" s="3"/>
      <x:c r="W85" s="3"/>
      <x:c r="X85" s="3"/>
      <x:c r="Y85" s="3"/>
      <x:c r="Z85" s="3"/>
      <x:c r="AA85" s="3"/>
      <x:c r="AB85" s="3"/>
    </x:row>
    <x:row r="86" ht="21" customHeight="1">
      <x:c r="A86" s="2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3"/>
      <x:c r="Q86" s="3"/>
      <x:c r="R86" s="3"/>
      <x:c r="S86" s="3"/>
      <x:c r="T86" s="3"/>
      <x:c r="U86" s="3"/>
      <x:c r="V86" s="3"/>
      <x:c r="W86" s="3"/>
      <x:c r="X86" s="3"/>
      <x:c r="Y86" s="3"/>
      <x:c r="Z86" s="3"/>
      <x:c r="AA86" s="3"/>
      <x:c r="AB86" s="3"/>
    </x:row>
    <x:row r="87" ht="21" customHeight="1">
      <x:c r="A87" s="2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3"/>
      <x:c r="Q87" s="3"/>
      <x:c r="R87" s="3"/>
      <x:c r="S87" s="3"/>
      <x:c r="T87" s="3"/>
      <x:c r="U87" s="3"/>
      <x:c r="V87" s="3"/>
      <x:c r="W87" s="3"/>
      <x:c r="X87" s="3"/>
      <x:c r="Y87" s="3"/>
      <x:c r="Z87" s="3"/>
      <x:c r="AA87" s="3"/>
      <x:c r="AB87" s="3"/>
    </x:row>
    <x:row r="88" ht="21" customHeight="1">
      <x:c r="A88" s="2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3"/>
      <x:c r="Q88" s="3"/>
      <x:c r="R88" s="3"/>
      <x:c r="S88" s="3"/>
      <x:c r="T88" s="3"/>
      <x:c r="U88" s="3"/>
      <x:c r="V88" s="3"/>
      <x:c r="W88" s="3"/>
      <x:c r="X88" s="3"/>
      <x:c r="Y88" s="3"/>
      <x:c r="Z88" s="3"/>
      <x:c r="AA88" s="3"/>
      <x:c r="AB88" s="3"/>
    </x:row>
    <x:row r="89" ht="21" customHeight="1">
      <x:c r="A89" s="2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3"/>
      <x:c r="Q89" s="3"/>
      <x:c r="R89" s="3"/>
      <x:c r="S89" s="3"/>
      <x:c r="T89" s="3"/>
      <x:c r="U89" s="3"/>
      <x:c r="V89" s="3"/>
      <x:c r="W89" s="3"/>
      <x:c r="X89" s="3"/>
      <x:c r="Y89" s="3"/>
      <x:c r="Z89" s="3"/>
      <x:c r="AA89" s="3"/>
      <x:c r="AB89" s="3"/>
    </x:row>
    <x:row r="90" ht="21" customHeight="1">
      <x:c r="A90" s="2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3"/>
      <x:c r="Z90" s="3"/>
      <x:c r="AA90" s="3"/>
      <x:c r="AB90" s="3"/>
    </x:row>
    <x:row r="91" ht="21" customHeight="1">
      <x:c r="A91" s="2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3"/>
      <x:c r="Q91" s="3"/>
      <x:c r="R91" s="3"/>
      <x:c r="S91" s="3"/>
      <x:c r="T91" s="3"/>
      <x:c r="U91" s="3"/>
      <x:c r="V91" s="3"/>
      <x:c r="W91" s="3"/>
      <x:c r="X91" s="3"/>
      <x:c r="Y91" s="3"/>
      <x:c r="Z91" s="3"/>
      <x:c r="AA91" s="3"/>
      <x:c r="AB91" s="3"/>
    </x:row>
    <x:row r="92" ht="21" customHeight="1">
      <x:c r="A92" s="2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3"/>
      <x:c r="Q92" s="3"/>
      <x:c r="R92" s="3"/>
      <x:c r="S92" s="3"/>
      <x:c r="T92" s="3"/>
      <x:c r="U92" s="3"/>
      <x:c r="V92" s="3"/>
      <x:c r="W92" s="3"/>
      <x:c r="X92" s="3"/>
      <x:c r="Y92" s="3"/>
      <x:c r="Z92" s="3"/>
      <x:c r="AA92" s="3"/>
      <x:c r="AB92" s="3"/>
    </x:row>
    <x:row r="93" ht="21" customHeight="1">
      <x:c r="A93" s="2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3"/>
      <x:c r="Q93" s="3"/>
      <x:c r="R93" s="3"/>
      <x:c r="S93" s="3"/>
      <x:c r="T93" s="3"/>
      <x:c r="U93" s="3"/>
      <x:c r="V93" s="3"/>
      <x:c r="W93" s="3"/>
      <x:c r="X93" s="3"/>
      <x:c r="Y93" s="3"/>
      <x:c r="Z93" s="3"/>
      <x:c r="AA93" s="3"/>
      <x:c r="AB93" s="3"/>
    </x:row>
    <x:row r="94" ht="21" customHeight="1">
      <x:c r="A94" s="2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  <x:c r="AA94" s="3"/>
      <x:c r="AB94" s="3"/>
    </x:row>
    <x:row r="95" ht="21" customHeight="1">
      <x:c r="A95" s="2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3"/>
      <x:c r="Q95" s="3"/>
      <x:c r="R95" s="3"/>
      <x:c r="S95" s="3"/>
      <x:c r="T95" s="3"/>
      <x:c r="U95" s="3"/>
      <x:c r="V95" s="3"/>
      <x:c r="W95" s="3"/>
      <x:c r="X95" s="3"/>
      <x:c r="Y95" s="3"/>
      <x:c r="Z95" s="3"/>
      <x:c r="AA95" s="3"/>
      <x:c r="AB95" s="3"/>
    </x:row>
    <x:row r="96" ht="21" customHeight="1">
      <x:c r="A96" s="2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3"/>
      <x:c r="Q96" s="3"/>
      <x:c r="R96" s="3"/>
      <x:c r="S96" s="3"/>
      <x:c r="T96" s="3"/>
      <x:c r="U96" s="3"/>
      <x:c r="V96" s="3"/>
      <x:c r="W96" s="3"/>
      <x:c r="X96" s="3"/>
      <x:c r="Y96" s="3"/>
      <x:c r="Z96" s="3"/>
      <x:c r="AA96" s="3"/>
      <x:c r="AB96" s="3"/>
    </x:row>
    <x:row r="97" ht="21" customHeight="1">
      <x:c r="A97" s="2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3"/>
      <x:c r="Q97" s="3"/>
      <x:c r="R97" s="3"/>
      <x:c r="S97" s="3"/>
      <x:c r="T97" s="3"/>
      <x:c r="U97" s="3"/>
      <x:c r="V97" s="3"/>
      <x:c r="W97" s="3"/>
      <x:c r="X97" s="3"/>
      <x:c r="Y97" s="3"/>
      <x:c r="Z97" s="3"/>
      <x:c r="AA97" s="3"/>
      <x:c r="AB97" s="3"/>
    </x:row>
    <x:row r="98" ht="21" customHeight="1">
      <x:c r="A98" s="2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3"/>
      <x:c r="Q98" s="3"/>
      <x:c r="R98" s="3"/>
      <x:c r="S98" s="3"/>
      <x:c r="T98" s="3"/>
      <x:c r="U98" s="3"/>
      <x:c r="V98" s="3"/>
      <x:c r="W98" s="3"/>
      <x:c r="X98" s="3"/>
      <x:c r="Y98" s="3"/>
      <x:c r="Z98" s="3"/>
      <x:c r="AA98" s="3"/>
      <x:c r="AB98" s="3"/>
    </x:row>
    <x:row r="99" ht="21" customHeight="1">
      <x:c r="A99" s="2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3"/>
      <x:c r="Q99" s="3"/>
      <x:c r="R99" s="3"/>
      <x:c r="S99" s="3"/>
      <x:c r="T99" s="3"/>
      <x:c r="U99" s="3"/>
      <x:c r="V99" s="3"/>
      <x:c r="W99" s="3"/>
      <x:c r="X99" s="3"/>
      <x:c r="Y99" s="3"/>
      <x:c r="Z99" s="3"/>
      <x:c r="AA99" s="3"/>
      <x:c r="AB99" s="3"/>
    </x:row>
    <x:row r="100" ht="21" customHeight="1">
      <x:c r="A100" s="2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3"/>
      <x:c r="Q100" s="3"/>
      <x:c r="R100" s="3"/>
      <x:c r="S100" s="3"/>
      <x:c r="T100" s="3"/>
      <x:c r="U100" s="3"/>
      <x:c r="V100" s="3"/>
      <x:c r="W100" s="3"/>
      <x:c r="X100" s="3"/>
      <x:c r="Y100" s="3"/>
      <x:c r="Z100" s="3"/>
      <x:c r="AA100" s="3"/>
      <x:c r="AB100" s="3"/>
    </x:row>
    <x:row r="101" ht="21" customHeight="1">
      <x:c r="A101" s="2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3"/>
      <x:c r="Q101" s="3"/>
      <x:c r="R101" s="3"/>
      <x:c r="S101" s="3"/>
      <x:c r="T101" s="3"/>
      <x:c r="U101" s="3"/>
      <x:c r="V101" s="3"/>
      <x:c r="W101" s="3"/>
      <x:c r="X101" s="3"/>
      <x:c r="Y101" s="3"/>
      <x:c r="Z101" s="3"/>
      <x:c r="AA101" s="3"/>
      <x:c r="AB101" s="3"/>
    </x:row>
    <x:row r="102" ht="21" customHeight="1">
      <x:c r="A102" s="2"/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3"/>
      <x:c r="Q102" s="3"/>
      <x:c r="R102" s="3"/>
      <x:c r="S102" s="3"/>
      <x:c r="T102" s="3"/>
      <x:c r="U102" s="3"/>
      <x:c r="V102" s="3"/>
      <x:c r="W102" s="3"/>
      <x:c r="X102" s="3"/>
      <x:c r="Y102" s="3"/>
      <x:c r="Z102" s="3"/>
      <x:c r="AA102" s="3"/>
      <x:c r="AB102" s="3"/>
    </x:row>
    <x:row r="103" ht="21" customHeight="1">
      <x:c r="A103" s="2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  <x:c r="T103" s="3"/>
      <x:c r="U103" s="3"/>
      <x:c r="V103" s="3"/>
      <x:c r="W103" s="3"/>
      <x:c r="X103" s="3"/>
      <x:c r="Y103" s="3"/>
      <x:c r="Z103" s="3"/>
      <x:c r="AA103" s="3"/>
      <x:c r="AB103" s="3"/>
    </x:row>
    <x:row r="104" ht="21" customHeight="1">
      <x:c r="A104" s="2"/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3"/>
      <x:c r="Q104" s="3"/>
      <x:c r="R104" s="3"/>
      <x:c r="S104" s="3"/>
      <x:c r="T104" s="3"/>
      <x:c r="U104" s="3"/>
      <x:c r="V104" s="3"/>
      <x:c r="W104" s="3"/>
      <x:c r="X104" s="3"/>
      <x:c r="Y104" s="3"/>
      <x:c r="Z104" s="3"/>
      <x:c r="AA104" s="3"/>
      <x:c r="AB104" s="3"/>
    </x:row>
    <x:row r="105" ht="21" customHeight="1">
      <x:c r="A105" s="2"/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3"/>
      <x:c r="Q105" s="3"/>
      <x:c r="R105" s="3"/>
      <x:c r="S105" s="3"/>
      <x:c r="T105" s="3"/>
      <x:c r="U105" s="3"/>
      <x:c r="V105" s="3"/>
      <x:c r="W105" s="3"/>
      <x:c r="X105" s="3"/>
      <x:c r="Y105" s="3"/>
      <x:c r="Z105" s="3"/>
      <x:c r="AA105" s="3"/>
      <x:c r="AB105" s="3"/>
    </x:row>
    <x:row r="106" ht="21" customHeight="1">
      <x:c r="A106" s="2"/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3"/>
      <x:c r="Q106" s="3"/>
      <x:c r="R106" s="3"/>
      <x:c r="S106" s="3"/>
      <x:c r="T106" s="3"/>
      <x:c r="U106" s="3"/>
      <x:c r="V106" s="3"/>
      <x:c r="W106" s="3"/>
      <x:c r="X106" s="3"/>
      <x:c r="Y106" s="3"/>
      <x:c r="Z106" s="3"/>
      <x:c r="AA106" s="3"/>
      <x:c r="AB106" s="3"/>
    </x:row>
    <x:row r="107" ht="21" customHeight="1">
      <x:c r="A107" s="2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  <x:c r="T107" s="3"/>
      <x:c r="U107" s="3"/>
      <x:c r="V107" s="3"/>
      <x:c r="W107" s="3"/>
      <x:c r="X107" s="3"/>
      <x:c r="Y107" s="3"/>
      <x:c r="Z107" s="3"/>
      <x:c r="AA107" s="3"/>
      <x:c r="AB107" s="3"/>
    </x:row>
    <x:row r="108" ht="21" customHeight="1">
      <x:c r="A108" s="2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3"/>
      <x:c r="Q108" s="3"/>
      <x:c r="R108" s="3"/>
      <x:c r="S108" s="3"/>
      <x:c r="T108" s="3"/>
      <x:c r="U108" s="3"/>
      <x:c r="V108" s="3"/>
      <x:c r="W108" s="3"/>
      <x:c r="X108" s="3"/>
      <x:c r="Y108" s="3"/>
      <x:c r="Z108" s="3"/>
      <x:c r="AA108" s="3"/>
      <x:c r="AB108" s="3"/>
    </x:row>
    <x:row r="109" ht="21" customHeight="1">
      <x:c r="A109" s="2"/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3"/>
      <x:c r="Q109" s="3"/>
      <x:c r="R109" s="3"/>
      <x:c r="S109" s="3"/>
      <x:c r="T109" s="3"/>
      <x:c r="U109" s="3"/>
      <x:c r="V109" s="3"/>
      <x:c r="W109" s="3"/>
      <x:c r="X109" s="3"/>
      <x:c r="Y109" s="3"/>
      <x:c r="Z109" s="3"/>
      <x:c r="AA109" s="3"/>
      <x:c r="AB109" s="3"/>
    </x:row>
    <x:row r="110" ht="21" customHeight="1">
      <x:c r="A110" s="2"/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3"/>
      <x:c r="Q110" s="3"/>
      <x:c r="R110" s="3"/>
      <x:c r="S110" s="3"/>
      <x:c r="T110" s="3"/>
      <x:c r="U110" s="3"/>
      <x:c r="V110" s="3"/>
      <x:c r="W110" s="3"/>
      <x:c r="X110" s="3"/>
      <x:c r="Y110" s="3"/>
      <x:c r="Z110" s="3"/>
      <x:c r="AA110" s="3"/>
      <x:c r="AB110" s="3"/>
    </x:row>
    <x:row r="111" ht="21" customHeight="1">
      <x:c r="A111" s="2"/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3"/>
      <x:c r="Q111" s="3"/>
      <x:c r="R111" s="3"/>
      <x:c r="S111" s="3"/>
      <x:c r="T111" s="3"/>
      <x:c r="U111" s="3"/>
      <x:c r="V111" s="3"/>
      <x:c r="W111" s="3"/>
      <x:c r="X111" s="3"/>
      <x:c r="Y111" s="3"/>
      <x:c r="Z111" s="3"/>
      <x:c r="AA111" s="3"/>
      <x:c r="AB111" s="3"/>
    </x:row>
    <x:row r="112" ht="21" customHeight="1">
      <x:c r="A112" s="2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3"/>
      <x:c r="Q112" s="3"/>
      <x:c r="R112" s="3"/>
      <x:c r="S112" s="3"/>
      <x:c r="T112" s="3"/>
      <x:c r="U112" s="3"/>
      <x:c r="V112" s="3"/>
      <x:c r="W112" s="3"/>
      <x:c r="X112" s="3"/>
      <x:c r="Y112" s="3"/>
      <x:c r="Z112" s="3"/>
      <x:c r="AA112" s="3"/>
      <x:c r="AB112" s="3"/>
    </x:row>
    <x:row r="113" ht="21" customHeight="1">
      <x:c r="A113" s="2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3"/>
      <x:c r="Q113" s="3"/>
      <x:c r="R113" s="3"/>
      <x:c r="S113" s="3"/>
      <x:c r="T113" s="3"/>
      <x:c r="U113" s="3"/>
      <x:c r="V113" s="3"/>
      <x:c r="W113" s="3"/>
      <x:c r="X113" s="3"/>
      <x:c r="Y113" s="3"/>
      <x:c r="Z113" s="3"/>
      <x:c r="AA113" s="3"/>
      <x:c r="AB113" s="3"/>
    </x:row>
    <x:row r="114" ht="21" customHeight="1">
      <x:c r="A114" s="2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3"/>
      <x:c r="Q114" s="3"/>
      <x:c r="R114" s="3"/>
      <x:c r="S114" s="3"/>
      <x:c r="T114" s="3"/>
      <x:c r="U114" s="3"/>
      <x:c r="V114" s="3"/>
      <x:c r="W114" s="3"/>
      <x:c r="X114" s="3"/>
      <x:c r="Y114" s="3"/>
      <x:c r="Z114" s="3"/>
      <x:c r="AA114" s="3"/>
      <x:c r="AB114" s="3"/>
    </x:row>
    <x:row r="115" ht="21" customHeight="1">
      <x:c r="A115" s="2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3"/>
      <x:c r="Q115" s="3"/>
      <x:c r="R115" s="3"/>
      <x:c r="S115" s="3"/>
      <x:c r="T115" s="3"/>
      <x:c r="U115" s="3"/>
      <x:c r="V115" s="3"/>
      <x:c r="W115" s="3"/>
      <x:c r="X115" s="3"/>
      <x:c r="Y115" s="3"/>
      <x:c r="Z115" s="3"/>
      <x:c r="AA115" s="3"/>
      <x:c r="AB115" s="3"/>
    </x:row>
    <x:row r="116" ht="21" customHeight="1">
      <x:c r="A116" s="2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  <x:c r="S116" s="3"/>
      <x:c r="T116" s="3"/>
      <x:c r="U116" s="3"/>
      <x:c r="V116" s="3"/>
      <x:c r="W116" s="3"/>
      <x:c r="X116" s="3"/>
      <x:c r="Y116" s="3"/>
      <x:c r="Z116" s="3"/>
      <x:c r="AA116" s="3"/>
      <x:c r="AB116" s="3"/>
    </x:row>
    <x:row r="117" ht="21" customHeight="1">
      <x:c r="A117" s="2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3"/>
      <x:c r="Q117" s="3"/>
      <x:c r="R117" s="3"/>
      <x:c r="S117" s="3"/>
      <x:c r="T117" s="3"/>
      <x:c r="U117" s="3"/>
      <x:c r="V117" s="3"/>
      <x:c r="W117" s="3"/>
      <x:c r="X117" s="3"/>
      <x:c r="Y117" s="3"/>
      <x:c r="Z117" s="3"/>
      <x:c r="AA117" s="3"/>
      <x:c r="AB117" s="3"/>
    </x:row>
    <x:row r="118" ht="21" customHeight="1">
      <x:c r="A118" s="2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3"/>
      <x:c r="Q118" s="3"/>
      <x:c r="R118" s="3"/>
      <x:c r="S118" s="3"/>
      <x:c r="T118" s="3"/>
      <x:c r="U118" s="3"/>
      <x:c r="V118" s="3"/>
      <x:c r="W118" s="3"/>
      <x:c r="X118" s="3"/>
      <x:c r="Y118" s="3"/>
      <x:c r="Z118" s="3"/>
      <x:c r="AA118" s="3"/>
      <x:c r="AB118" s="3"/>
    </x:row>
    <x:row r="119" ht="21" customHeight="1">
      <x:c r="A119" s="2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3"/>
      <x:c r="Q119" s="3"/>
      <x:c r="R119" s="3"/>
      <x:c r="S119" s="3"/>
      <x:c r="T119" s="3"/>
      <x:c r="U119" s="3"/>
      <x:c r="V119" s="3"/>
      <x:c r="W119" s="3"/>
      <x:c r="X119" s="3"/>
      <x:c r="Y119" s="3"/>
      <x:c r="Z119" s="3"/>
      <x:c r="AA119" s="3"/>
      <x:c r="AB119" s="3"/>
    </x:row>
    <x:row r="120" ht="21" customHeight="1">
      <x:c r="A120" s="2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  <x:c r="S120" s="3"/>
      <x:c r="T120" s="3"/>
      <x:c r="U120" s="3"/>
      <x:c r="V120" s="3"/>
      <x:c r="W120" s="3"/>
      <x:c r="X120" s="3"/>
      <x:c r="Y120" s="3"/>
      <x:c r="Z120" s="3"/>
      <x:c r="AA120" s="3"/>
      <x:c r="AB120" s="3"/>
    </x:row>
    <x:row r="121" ht="21" customHeight="1">
      <x:c r="A121" s="2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3"/>
      <x:c r="Q121" s="3"/>
      <x:c r="R121" s="3"/>
      <x:c r="S121" s="3"/>
      <x:c r="T121" s="3"/>
      <x:c r="U121" s="3"/>
      <x:c r="V121" s="3"/>
      <x:c r="W121" s="3"/>
      <x:c r="X121" s="3"/>
      <x:c r="Y121" s="3"/>
      <x:c r="Z121" s="3"/>
      <x:c r="AA121" s="3"/>
      <x:c r="AB121" s="3"/>
    </x:row>
    <x:row r="122" ht="21" customHeight="1">
      <x:c r="A122" s="2"/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3"/>
      <x:c r="Q122" s="3"/>
      <x:c r="R122" s="3"/>
      <x:c r="S122" s="3"/>
      <x:c r="T122" s="3"/>
      <x:c r="U122" s="3"/>
      <x:c r="V122" s="3"/>
      <x:c r="W122" s="3"/>
      <x:c r="X122" s="3"/>
      <x:c r="Y122" s="3"/>
      <x:c r="Z122" s="3"/>
      <x:c r="AA122" s="3"/>
      <x:c r="AB122" s="3"/>
    </x:row>
    <x:row r="123" ht="21" customHeight="1">
      <x:c r="A123" s="2"/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3"/>
      <x:c r="Q123" s="3"/>
      <x:c r="R123" s="3"/>
      <x:c r="S123" s="3"/>
      <x:c r="T123" s="3"/>
      <x:c r="U123" s="3"/>
      <x:c r="V123" s="3"/>
      <x:c r="W123" s="3"/>
      <x:c r="X123" s="3"/>
      <x:c r="Y123" s="3"/>
      <x:c r="Z123" s="3"/>
      <x:c r="AA123" s="3"/>
      <x:c r="AB123" s="3"/>
    </x:row>
    <x:row r="124" ht="21" customHeight="1">
      <x:c r="A124" s="2"/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3"/>
      <x:c r="Q124" s="3"/>
      <x:c r="R124" s="3"/>
      <x:c r="S124" s="3"/>
      <x:c r="T124" s="3"/>
      <x:c r="U124" s="3"/>
      <x:c r="V124" s="3"/>
      <x:c r="W124" s="3"/>
      <x:c r="X124" s="3"/>
      <x:c r="Y124" s="3"/>
      <x:c r="Z124" s="3"/>
      <x:c r="AA124" s="3"/>
      <x:c r="AB124" s="3"/>
    </x:row>
    <x:row r="125" ht="21" customHeight="1">
      <x:c r="A125" s="2"/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3"/>
      <x:c r="Q125" s="3"/>
      <x:c r="R125" s="3"/>
      <x:c r="S125" s="3"/>
      <x:c r="T125" s="3"/>
      <x:c r="U125" s="3"/>
      <x:c r="V125" s="3"/>
      <x:c r="W125" s="3"/>
      <x:c r="X125" s="3"/>
      <x:c r="Y125" s="3"/>
      <x:c r="Z125" s="3"/>
      <x:c r="AA125" s="3"/>
      <x:c r="AB125" s="3"/>
    </x:row>
    <x:row r="126" ht="21" customHeight="1">
      <x:c r="A126" s="2"/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3"/>
      <x:c r="Q126" s="3"/>
      <x:c r="R126" s="3"/>
      <x:c r="S126" s="3"/>
      <x:c r="T126" s="3"/>
      <x:c r="U126" s="3"/>
      <x:c r="V126" s="3"/>
      <x:c r="W126" s="3"/>
      <x:c r="X126" s="3"/>
      <x:c r="Y126" s="3"/>
      <x:c r="Z126" s="3"/>
      <x:c r="AA126" s="3"/>
      <x:c r="AB126" s="3"/>
    </x:row>
    <x:row r="127" ht="21" customHeight="1">
      <x:c r="A127" s="2"/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3"/>
      <x:c r="Q127" s="3"/>
      <x:c r="R127" s="3"/>
      <x:c r="S127" s="3"/>
      <x:c r="T127" s="3"/>
      <x:c r="U127" s="3"/>
      <x:c r="V127" s="3"/>
      <x:c r="W127" s="3"/>
      <x:c r="X127" s="3"/>
      <x:c r="Y127" s="3"/>
      <x:c r="Z127" s="3"/>
      <x:c r="AA127" s="3"/>
      <x:c r="AB127" s="3"/>
    </x:row>
    <x:row r="128" ht="21" customHeight="1">
      <x:c r="A128" s="2"/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3"/>
      <x:c r="Q128" s="3"/>
      <x:c r="R128" s="3"/>
      <x:c r="S128" s="3"/>
      <x:c r="T128" s="3"/>
      <x:c r="U128" s="3"/>
      <x:c r="V128" s="3"/>
      <x:c r="W128" s="3"/>
      <x:c r="X128" s="3"/>
      <x:c r="Y128" s="3"/>
      <x:c r="Z128" s="3"/>
      <x:c r="AA128" s="3"/>
      <x:c r="AB128" s="3"/>
    </x:row>
    <x:row r="129" ht="21" customHeight="1">
      <x:c r="A129" s="2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3"/>
      <x:c r="Q129" s="3"/>
      <x:c r="R129" s="3"/>
      <x:c r="S129" s="3"/>
      <x:c r="T129" s="3"/>
      <x:c r="U129" s="3"/>
      <x:c r="V129" s="3"/>
      <x:c r="W129" s="3"/>
      <x:c r="X129" s="3"/>
      <x:c r="Y129" s="3"/>
      <x:c r="Z129" s="3"/>
      <x:c r="AA129" s="3"/>
      <x:c r="AB129" s="3"/>
    </x:row>
    <x:row r="130" ht="21" customHeight="1">
      <x:c r="A130" s="2"/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3"/>
      <x:c r="Q130" s="3"/>
      <x:c r="R130" s="3"/>
      <x:c r="S130" s="3"/>
      <x:c r="T130" s="3"/>
      <x:c r="U130" s="3"/>
      <x:c r="V130" s="3"/>
      <x:c r="W130" s="3"/>
      <x:c r="X130" s="3"/>
      <x:c r="Y130" s="3"/>
      <x:c r="Z130" s="3"/>
      <x:c r="AA130" s="3"/>
      <x:c r="AB130" s="3"/>
    </x:row>
    <x:row r="131" ht="21" customHeight="1">
      <x:c r="A131" s="2"/>
      <x:c r="B131" s="3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3"/>
      <x:c r="Q131" s="3"/>
      <x:c r="R131" s="3"/>
      <x:c r="S131" s="3"/>
      <x:c r="T131" s="3"/>
      <x:c r="U131" s="3"/>
      <x:c r="V131" s="3"/>
      <x:c r="W131" s="3"/>
      <x:c r="X131" s="3"/>
      <x:c r="Y131" s="3"/>
      <x:c r="Z131" s="3"/>
      <x:c r="AA131" s="3"/>
      <x:c r="AB131" s="3"/>
    </x:row>
    <x:row r="132" ht="21" customHeight="1">
      <x:c r="A132" s="2"/>
      <x:c r="B132" s="3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3"/>
      <x:c r="Q132" s="3"/>
      <x:c r="R132" s="3"/>
      <x:c r="S132" s="3"/>
      <x:c r="T132" s="3"/>
      <x:c r="U132" s="3"/>
      <x:c r="V132" s="3"/>
      <x:c r="W132" s="3"/>
      <x:c r="X132" s="3"/>
      <x:c r="Y132" s="3"/>
      <x:c r="Z132" s="3"/>
      <x:c r="AA132" s="3"/>
      <x:c r="AB132" s="3"/>
    </x:row>
    <x:row r="133" ht="21" customHeight="1">
      <x:c r="A133" s="2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3"/>
      <x:c r="Q133" s="3"/>
      <x:c r="R133" s="3"/>
      <x:c r="S133" s="3"/>
      <x:c r="T133" s="3"/>
      <x:c r="U133" s="3"/>
      <x:c r="V133" s="3"/>
      <x:c r="W133" s="3"/>
      <x:c r="X133" s="3"/>
      <x:c r="Y133" s="3"/>
      <x:c r="Z133" s="3"/>
      <x:c r="AA133" s="3"/>
      <x:c r="AB133" s="3"/>
    </x:row>
    <x:row r="134" ht="21" customHeight="1">
      <x:c r="A134" s="2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3"/>
      <x:c r="Q134" s="3"/>
      <x:c r="R134" s="3"/>
      <x:c r="S134" s="3"/>
      <x:c r="T134" s="3"/>
      <x:c r="U134" s="3"/>
      <x:c r="V134" s="3"/>
      <x:c r="W134" s="3"/>
      <x:c r="X134" s="3"/>
      <x:c r="Y134" s="3"/>
      <x:c r="Z134" s="3"/>
      <x:c r="AA134" s="3"/>
      <x:c r="AB134" s="3"/>
    </x:row>
    <x:row r="135" ht="21" customHeight="1">
      <x:c r="A135" s="2"/>
      <x:c r="B135" s="3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3"/>
      <x:c r="Q135" s="3"/>
      <x:c r="R135" s="3"/>
      <x:c r="S135" s="3"/>
      <x:c r="T135" s="3"/>
      <x:c r="U135" s="3"/>
      <x:c r="V135" s="3"/>
      <x:c r="W135" s="3"/>
      <x:c r="X135" s="3"/>
      <x:c r="Y135" s="3"/>
      <x:c r="Z135" s="3"/>
      <x:c r="AA135" s="3"/>
      <x:c r="AB135" s="3"/>
    </x:row>
    <x:row r="136" ht="21" customHeight="1">
      <x:c r="A136" s="2"/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3"/>
      <x:c r="Q136" s="3"/>
      <x:c r="R136" s="3"/>
      <x:c r="S136" s="3"/>
      <x:c r="T136" s="3"/>
      <x:c r="U136" s="3"/>
      <x:c r="V136" s="3"/>
      <x:c r="W136" s="3"/>
      <x:c r="X136" s="3"/>
      <x:c r="Y136" s="3"/>
      <x:c r="Z136" s="3"/>
      <x:c r="AA136" s="3"/>
      <x:c r="AB136" s="3"/>
    </x:row>
    <x:row r="137" ht="21" customHeight="1">
      <x:c r="A137" s="2"/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3"/>
      <x:c r="Q137" s="3"/>
      <x:c r="R137" s="3"/>
      <x:c r="S137" s="3"/>
      <x:c r="T137" s="3"/>
      <x:c r="U137" s="3"/>
      <x:c r="V137" s="3"/>
      <x:c r="W137" s="3"/>
      <x:c r="X137" s="3"/>
      <x:c r="Y137" s="3"/>
      <x:c r="Z137" s="3"/>
      <x:c r="AA137" s="3"/>
      <x:c r="AB137" s="3"/>
    </x:row>
    <x:row r="138" ht="21" customHeight="1">
      <x:c r="A138" s="2"/>
      <x:c r="B138" s="3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3"/>
      <x:c r="Q138" s="3"/>
      <x:c r="R138" s="3"/>
      <x:c r="S138" s="3"/>
      <x:c r="T138" s="3"/>
      <x:c r="U138" s="3"/>
      <x:c r="V138" s="3"/>
      <x:c r="W138" s="3"/>
      <x:c r="X138" s="3"/>
      <x:c r="Y138" s="3"/>
      <x:c r="Z138" s="3"/>
      <x:c r="AA138" s="3"/>
      <x:c r="AB138" s="3"/>
    </x:row>
    <x:row r="139" ht="21" customHeight="1">
      <x:c r="A139" s="2"/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3"/>
      <x:c r="Q139" s="3"/>
      <x:c r="R139" s="3"/>
      <x:c r="S139" s="3"/>
      <x:c r="T139" s="3"/>
      <x:c r="U139" s="3"/>
      <x:c r="V139" s="3"/>
      <x:c r="W139" s="3"/>
      <x:c r="X139" s="3"/>
      <x:c r="Y139" s="3"/>
      <x:c r="Z139" s="3"/>
      <x:c r="AA139" s="3"/>
      <x:c r="AB139" s="3"/>
    </x:row>
    <x:row r="140" ht="21" customHeight="1">
      <x:c r="A140" s="2"/>
      <x:c r="B140" s="3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3"/>
      <x:c r="Q140" s="3"/>
      <x:c r="R140" s="3"/>
      <x:c r="S140" s="3"/>
      <x:c r="T140" s="3"/>
      <x:c r="U140" s="3"/>
      <x:c r="V140" s="3"/>
      <x:c r="W140" s="3"/>
      <x:c r="X140" s="3"/>
      <x:c r="Y140" s="3"/>
      <x:c r="Z140" s="3"/>
      <x:c r="AA140" s="3"/>
      <x:c r="AB140" s="3"/>
    </x:row>
    <x:row r="141" ht="21" customHeight="1">
      <x:c r="A141" s="2"/>
      <x:c r="B141" s="3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3"/>
      <x:c r="Q141" s="3"/>
      <x:c r="R141" s="3"/>
      <x:c r="S141" s="3"/>
      <x:c r="T141" s="3"/>
      <x:c r="U141" s="3"/>
      <x:c r="V141" s="3"/>
      <x:c r="W141" s="3"/>
      <x:c r="X141" s="3"/>
      <x:c r="Y141" s="3"/>
      <x:c r="Z141" s="3"/>
      <x:c r="AA141" s="3"/>
      <x:c r="AB141" s="3"/>
    </x:row>
    <x:row r="142" ht="21" customHeight="1">
      <x:c r="A142" s="2"/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3"/>
      <x:c r="Q142" s="3"/>
      <x:c r="R142" s="3"/>
      <x:c r="S142" s="3"/>
      <x:c r="T142" s="3"/>
      <x:c r="U142" s="3"/>
      <x:c r="V142" s="3"/>
      <x:c r="W142" s="3"/>
      <x:c r="X142" s="3"/>
      <x:c r="Y142" s="3"/>
      <x:c r="Z142" s="3"/>
      <x:c r="AA142" s="3"/>
      <x:c r="AB142" s="3"/>
    </x:row>
    <x:row r="143" ht="21" customHeight="1">
      <x:c r="A143" s="2"/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3"/>
      <x:c r="Q143" s="3"/>
      <x:c r="R143" s="3"/>
      <x:c r="S143" s="3"/>
      <x:c r="T143" s="3"/>
      <x:c r="U143" s="3"/>
      <x:c r="V143" s="3"/>
      <x:c r="W143" s="3"/>
      <x:c r="X143" s="3"/>
      <x:c r="Y143" s="3"/>
      <x:c r="Z143" s="3"/>
      <x:c r="AA143" s="3"/>
      <x:c r="AB143" s="3"/>
    </x:row>
    <x:row r="144" ht="21" customHeight="1">
      <x:c r="A144" s="2"/>
      <x:c r="B144" s="3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3"/>
      <x:c r="Q144" s="3"/>
      <x:c r="R144" s="3"/>
      <x:c r="S144" s="3"/>
      <x:c r="T144" s="3"/>
      <x:c r="U144" s="3"/>
      <x:c r="V144" s="3"/>
      <x:c r="W144" s="3"/>
      <x:c r="X144" s="3"/>
      <x:c r="Y144" s="3"/>
      <x:c r="Z144" s="3"/>
      <x:c r="AA144" s="3"/>
      <x:c r="AB144" s="3"/>
    </x:row>
    <x:row r="145" ht="21" customHeight="1">
      <x:c r="A145" s="2"/>
      <x:c r="B145" s="3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3"/>
      <x:c r="Q145" s="3"/>
      <x:c r="R145" s="3"/>
      <x:c r="S145" s="3"/>
      <x:c r="T145" s="3"/>
      <x:c r="U145" s="3"/>
      <x:c r="V145" s="3"/>
      <x:c r="W145" s="3"/>
      <x:c r="X145" s="3"/>
      <x:c r="Y145" s="3"/>
      <x:c r="Z145" s="3"/>
      <x:c r="AA145" s="3"/>
      <x:c r="AB145" s="3"/>
    </x:row>
    <x:row r="146" ht="21" customHeight="1">
      <x:c r="A146" s="2"/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3"/>
      <x:c r="Q146" s="3"/>
      <x:c r="R146" s="3"/>
      <x:c r="S146" s="3"/>
      <x:c r="T146" s="3"/>
      <x:c r="U146" s="3"/>
      <x:c r="V146" s="3"/>
      <x:c r="W146" s="3"/>
      <x:c r="X146" s="3"/>
      <x:c r="Y146" s="3"/>
      <x:c r="Z146" s="3"/>
      <x:c r="AA146" s="3"/>
      <x:c r="AB146" s="3"/>
    </x:row>
    <x:row r="147" ht="21" customHeight="1">
      <x:c r="A147" s="2"/>
      <x:c r="B147" s="3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3"/>
      <x:c r="Q147" s="3"/>
      <x:c r="R147" s="3"/>
      <x:c r="S147" s="3"/>
      <x:c r="T147" s="3"/>
      <x:c r="U147" s="3"/>
      <x:c r="V147" s="3"/>
      <x:c r="W147" s="3"/>
      <x:c r="X147" s="3"/>
      <x:c r="Y147" s="3"/>
      <x:c r="Z147" s="3"/>
      <x:c r="AA147" s="3"/>
      <x:c r="AB147" s="3"/>
    </x:row>
    <x:row r="148" ht="21" customHeight="1">
      <x:c r="A148" s="2"/>
      <x:c r="B148" s="3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3"/>
      <x:c r="Q148" s="3"/>
      <x:c r="R148" s="3"/>
      <x:c r="S148" s="3"/>
      <x:c r="T148" s="3"/>
      <x:c r="U148" s="3"/>
      <x:c r="V148" s="3"/>
      <x:c r="W148" s="3"/>
      <x:c r="X148" s="3"/>
      <x:c r="Y148" s="3"/>
      <x:c r="Z148" s="3"/>
      <x:c r="AA148" s="3"/>
      <x:c r="AB148" s="3"/>
    </x:row>
    <x:row r="149" ht="21" customHeight="1">
      <x:c r="A149" s="2"/>
      <x:c r="B149" s="3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3"/>
      <x:c r="Q149" s="3"/>
      <x:c r="R149" s="3"/>
      <x:c r="S149" s="3"/>
      <x:c r="T149" s="3"/>
      <x:c r="U149" s="3"/>
      <x:c r="V149" s="3"/>
      <x:c r="W149" s="3"/>
      <x:c r="X149" s="3"/>
      <x:c r="Y149" s="3"/>
      <x:c r="Z149" s="3"/>
      <x:c r="AA149" s="3"/>
      <x:c r="AB149" s="3"/>
    </x:row>
    <x:row r="150" ht="21" customHeight="1">
      <x:c r="A150" s="2"/>
      <x:c r="B150" s="3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3"/>
      <x:c r="Q150" s="3"/>
      <x:c r="R150" s="3"/>
      <x:c r="S150" s="3"/>
      <x:c r="T150" s="3"/>
      <x:c r="U150" s="3"/>
      <x:c r="V150" s="3"/>
      <x:c r="W150" s="3"/>
      <x:c r="X150" s="3"/>
      <x:c r="Y150" s="3"/>
      <x:c r="Z150" s="3"/>
      <x:c r="AA150" s="3"/>
      <x:c r="AB150" s="3"/>
    </x:row>
    <x:row r="151" ht="21" customHeight="1">
      <x:c r="A151" s="2"/>
      <x:c r="B151" s="3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3"/>
      <x:c r="Q151" s="3"/>
      <x:c r="R151" s="3"/>
      <x:c r="S151" s="3"/>
      <x:c r="T151" s="3"/>
      <x:c r="U151" s="3"/>
      <x:c r="V151" s="3"/>
      <x:c r="W151" s="3"/>
      <x:c r="X151" s="3"/>
      <x:c r="Y151" s="3"/>
      <x:c r="Z151" s="3"/>
      <x:c r="AA151" s="3"/>
      <x:c r="AB151" s="3"/>
    </x:row>
    <x:row r="152" ht="21" customHeight="1">
      <x:c r="A152" s="2"/>
      <x:c r="B152" s="3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3"/>
      <x:c r="Q152" s="3"/>
      <x:c r="R152" s="3"/>
      <x:c r="S152" s="3"/>
      <x:c r="T152" s="3"/>
      <x:c r="U152" s="3"/>
      <x:c r="V152" s="3"/>
      <x:c r="W152" s="3"/>
      <x:c r="X152" s="3"/>
      <x:c r="Y152" s="3"/>
      <x:c r="Z152" s="3"/>
      <x:c r="AA152" s="3"/>
      <x:c r="AB152" s="3"/>
    </x:row>
    <x:row r="153" ht="21" customHeight="1">
      <x:c r="A153" s="2"/>
      <x:c r="B153" s="3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3"/>
      <x:c r="Q153" s="3"/>
      <x:c r="R153" s="3"/>
      <x:c r="S153" s="3"/>
      <x:c r="T153" s="3"/>
      <x:c r="U153" s="3"/>
      <x:c r="V153" s="3"/>
      <x:c r="W153" s="3"/>
      <x:c r="X153" s="3"/>
      <x:c r="Y153" s="3"/>
      <x:c r="Z153" s="3"/>
      <x:c r="AA153" s="3"/>
      <x:c r="AB153" s="3"/>
    </x:row>
    <x:row r="154" ht="21" customHeight="1">
      <x:c r="A154" s="2"/>
      <x:c r="B154" s="3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3"/>
      <x:c r="Q154" s="3"/>
      <x:c r="R154" s="3"/>
      <x:c r="S154" s="3"/>
      <x:c r="T154" s="3"/>
      <x:c r="U154" s="3"/>
      <x:c r="V154" s="3"/>
      <x:c r="W154" s="3"/>
      <x:c r="X154" s="3"/>
      <x:c r="Y154" s="3"/>
      <x:c r="Z154" s="3"/>
      <x:c r="AA154" s="3"/>
      <x:c r="AB154" s="3"/>
    </x:row>
    <x:row r="155" ht="21" customHeight="1">
      <x:c r="A155" s="2"/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3"/>
      <x:c r="Q155" s="3"/>
      <x:c r="R155" s="3"/>
      <x:c r="S155" s="3"/>
      <x:c r="T155" s="3"/>
      <x:c r="U155" s="3"/>
      <x:c r="V155" s="3"/>
      <x:c r="W155" s="3"/>
      <x:c r="X155" s="3"/>
      <x:c r="Y155" s="3"/>
      <x:c r="Z155" s="3"/>
      <x:c r="AA155" s="3"/>
      <x:c r="AB155" s="3"/>
    </x:row>
    <x:row r="156" ht="21" customHeight="1">
      <x:c r="A156" s="2"/>
      <x:c r="B156" s="3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3"/>
      <x:c r="Q156" s="3"/>
      <x:c r="R156" s="3"/>
      <x:c r="S156" s="3"/>
      <x:c r="T156" s="3"/>
      <x:c r="U156" s="3"/>
      <x:c r="V156" s="3"/>
      <x:c r="W156" s="3"/>
      <x:c r="X156" s="3"/>
      <x:c r="Y156" s="3"/>
      <x:c r="Z156" s="3"/>
      <x:c r="AA156" s="3"/>
      <x:c r="AB156" s="3"/>
    </x:row>
    <x:row r="157" ht="21" customHeight="1">
      <x:c r="A157" s="2"/>
      <x:c r="B157" s="3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3"/>
      <x:c r="Q157" s="3"/>
      <x:c r="R157" s="3"/>
      <x:c r="S157" s="3"/>
      <x:c r="T157" s="3"/>
      <x:c r="U157" s="3"/>
      <x:c r="V157" s="3"/>
      <x:c r="W157" s="3"/>
      <x:c r="X157" s="3"/>
      <x:c r="Y157" s="3"/>
      <x:c r="Z157" s="3"/>
      <x:c r="AA157" s="3"/>
      <x:c r="AB157" s="3"/>
    </x:row>
    <x:row r="158" ht="21" customHeight="1">
      <x:c r="A158" s="2"/>
      <x:c r="B158" s="3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3"/>
      <x:c r="Q158" s="3"/>
      <x:c r="R158" s="3"/>
      <x:c r="S158" s="3"/>
      <x:c r="T158" s="3"/>
      <x:c r="U158" s="3"/>
      <x:c r="V158" s="3"/>
      <x:c r="W158" s="3"/>
      <x:c r="X158" s="3"/>
      <x:c r="Y158" s="3"/>
      <x:c r="Z158" s="3"/>
      <x:c r="AA158" s="3"/>
      <x:c r="AB158" s="3"/>
    </x:row>
    <x:row r="159" ht="21" customHeight="1">
      <x:c r="A159" s="2"/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3"/>
      <x:c r="Q159" s="3"/>
      <x:c r="R159" s="3"/>
      <x:c r="S159" s="3"/>
      <x:c r="T159" s="3"/>
      <x:c r="U159" s="3"/>
      <x:c r="V159" s="3"/>
      <x:c r="W159" s="3"/>
      <x:c r="X159" s="3"/>
      <x:c r="Y159" s="3"/>
      <x:c r="Z159" s="3"/>
      <x:c r="AA159" s="3"/>
      <x:c r="AB159" s="3"/>
    </x:row>
    <x:row r="160" ht="21" customHeight="1">
      <x:c r="A160" s="2"/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3"/>
      <x:c r="Q160" s="3"/>
      <x:c r="R160" s="3"/>
      <x:c r="S160" s="3"/>
      <x:c r="T160" s="3"/>
      <x:c r="U160" s="3"/>
      <x:c r="V160" s="3"/>
      <x:c r="W160" s="3"/>
      <x:c r="X160" s="3"/>
      <x:c r="Y160" s="3"/>
      <x:c r="Z160" s="3"/>
      <x:c r="AA160" s="3"/>
      <x:c r="AB160" s="3"/>
    </x:row>
    <x:row r="161" ht="21" customHeight="1">
      <x:c r="A161" s="2"/>
      <x:c r="B161" s="3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3"/>
      <x:c r="Q161" s="3"/>
      <x:c r="R161" s="3"/>
      <x:c r="S161" s="3"/>
      <x:c r="T161" s="3"/>
      <x:c r="U161" s="3"/>
      <x:c r="V161" s="3"/>
      <x:c r="W161" s="3"/>
      <x:c r="X161" s="3"/>
      <x:c r="Y161" s="3"/>
      <x:c r="Z161" s="3"/>
      <x:c r="AA161" s="3"/>
      <x:c r="AB161" s="3"/>
    </x:row>
    <x:row r="162" ht="21" customHeight="1">
      <x:c r="A162" s="2"/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3"/>
      <x:c r="Q162" s="3"/>
      <x:c r="R162" s="3"/>
      <x:c r="S162" s="3"/>
      <x:c r="T162" s="3"/>
      <x:c r="U162" s="3"/>
      <x:c r="V162" s="3"/>
      <x:c r="W162" s="3"/>
      <x:c r="X162" s="3"/>
      <x:c r="Y162" s="3"/>
      <x:c r="Z162" s="3"/>
      <x:c r="AA162" s="3"/>
      <x:c r="AB162" s="3"/>
    </x:row>
    <x:row r="163" ht="21" customHeight="1">
      <x:c r="A163" s="2"/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3"/>
      <x:c r="Q163" s="3"/>
      <x:c r="R163" s="3"/>
      <x:c r="S163" s="3"/>
      <x:c r="T163" s="3"/>
      <x:c r="U163" s="3"/>
      <x:c r="V163" s="3"/>
      <x:c r="W163" s="3"/>
      <x:c r="X163" s="3"/>
      <x:c r="Y163" s="3"/>
      <x:c r="Z163" s="3"/>
      <x:c r="AA163" s="3"/>
      <x:c r="AB163" s="3"/>
    </x:row>
    <x:row r="164" ht="21" customHeight="1">
      <x:c r="A164" s="2"/>
      <x:c r="B164" s="3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3"/>
      <x:c r="Q164" s="3"/>
      <x:c r="R164" s="3"/>
      <x:c r="S164" s="3"/>
      <x:c r="T164" s="3"/>
      <x:c r="U164" s="3"/>
      <x:c r="V164" s="3"/>
      <x:c r="W164" s="3"/>
      <x:c r="X164" s="3"/>
      <x:c r="Y164" s="3"/>
      <x:c r="Z164" s="3"/>
      <x:c r="AA164" s="3"/>
      <x:c r="AB164" s="3"/>
    </x:row>
    <x:row r="165" ht="21" customHeight="1">
      <x:c r="A165" s="2"/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3"/>
      <x:c r="Q165" s="3"/>
      <x:c r="R165" s="3"/>
      <x:c r="S165" s="3"/>
      <x:c r="T165" s="3"/>
      <x:c r="U165" s="3"/>
      <x:c r="V165" s="3"/>
      <x:c r="W165" s="3"/>
      <x:c r="X165" s="3"/>
      <x:c r="Y165" s="3"/>
      <x:c r="Z165" s="3"/>
      <x:c r="AA165" s="3"/>
      <x:c r="AB165" s="3"/>
    </x:row>
    <x:row r="166" ht="21" customHeight="1">
      <x:c r="A166" s="2"/>
      <x:c r="B166" s="3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3"/>
      <x:c r="Q166" s="3"/>
      <x:c r="R166" s="3"/>
      <x:c r="S166" s="3"/>
      <x:c r="T166" s="3"/>
      <x:c r="U166" s="3"/>
      <x:c r="V166" s="3"/>
      <x:c r="W166" s="3"/>
      <x:c r="X166" s="3"/>
      <x:c r="Y166" s="3"/>
      <x:c r="Z166" s="3"/>
      <x:c r="AA166" s="3"/>
      <x:c r="AB166" s="3"/>
    </x:row>
    <x:row r="167" ht="21" customHeight="1">
      <x:c r="A167" s="2"/>
      <x:c r="B167" s="3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3"/>
      <x:c r="Q167" s="3"/>
      <x:c r="R167" s="3"/>
      <x:c r="S167" s="3"/>
      <x:c r="T167" s="3"/>
      <x:c r="U167" s="3"/>
      <x:c r="V167" s="3"/>
      <x:c r="W167" s="3"/>
      <x:c r="X167" s="3"/>
      <x:c r="Y167" s="3"/>
      <x:c r="Z167" s="3"/>
      <x:c r="AA167" s="3"/>
      <x:c r="AB167" s="3"/>
    </x:row>
    <x:row r="168" ht="21" customHeight="1">
      <x:c r="A168" s="2"/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3"/>
      <x:c r="Q168" s="3"/>
      <x:c r="R168" s="3"/>
      <x:c r="S168" s="3"/>
      <x:c r="T168" s="3"/>
      <x:c r="U168" s="3"/>
      <x:c r="V168" s="3"/>
      <x:c r="W168" s="3"/>
      <x:c r="X168" s="3"/>
      <x:c r="Y168" s="3"/>
      <x:c r="Z168" s="3"/>
      <x:c r="AA168" s="3"/>
      <x:c r="AB168" s="3"/>
    </x:row>
    <x:row r="169" ht="21" customHeight="1">
      <x:c r="A169" s="2"/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3"/>
      <x:c r="Q169" s="3"/>
      <x:c r="R169" s="3"/>
      <x:c r="S169" s="3"/>
      <x:c r="T169" s="3"/>
      <x:c r="U169" s="3"/>
      <x:c r="V169" s="3"/>
      <x:c r="W169" s="3"/>
      <x:c r="X169" s="3"/>
      <x:c r="Y169" s="3"/>
      <x:c r="Z169" s="3"/>
      <x:c r="AA169" s="3"/>
      <x:c r="AB169" s="3"/>
    </x:row>
    <x:row r="170" ht="21" customHeight="1">
      <x:c r="A170" s="2"/>
      <x:c r="B170" s="3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3"/>
      <x:c r="Q170" s="3"/>
      <x:c r="R170" s="3"/>
      <x:c r="S170" s="3"/>
      <x:c r="T170" s="3"/>
      <x:c r="U170" s="3"/>
      <x:c r="V170" s="3"/>
      <x:c r="W170" s="3"/>
      <x:c r="X170" s="3"/>
      <x:c r="Y170" s="3"/>
      <x:c r="Z170" s="3"/>
      <x:c r="AA170" s="3"/>
      <x:c r="AB170" s="3"/>
    </x:row>
    <x:row r="171" ht="21" customHeight="1">
      <x:c r="A171" s="2"/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3"/>
      <x:c r="Q171" s="3"/>
      <x:c r="R171" s="3"/>
      <x:c r="S171" s="3"/>
      <x:c r="T171" s="3"/>
      <x:c r="U171" s="3"/>
      <x:c r="V171" s="3"/>
      <x:c r="W171" s="3"/>
      <x:c r="X171" s="3"/>
      <x:c r="Y171" s="3"/>
      <x:c r="Z171" s="3"/>
      <x:c r="AA171" s="3"/>
      <x:c r="AB171" s="3"/>
    </x:row>
    <x:row r="172" ht="21" customHeight="1">
      <x:c r="A172" s="2"/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3"/>
      <x:c r="Q172" s="3"/>
      <x:c r="R172" s="3"/>
      <x:c r="S172" s="3"/>
      <x:c r="T172" s="3"/>
      <x:c r="U172" s="3"/>
      <x:c r="V172" s="3"/>
      <x:c r="W172" s="3"/>
      <x:c r="X172" s="3"/>
      <x:c r="Y172" s="3"/>
      <x:c r="Z172" s="3"/>
      <x:c r="AA172" s="3"/>
      <x:c r="AB172" s="3"/>
    </x:row>
    <x:row r="173" ht="21" customHeight="1">
      <x:c r="A173" s="2"/>
      <x:c r="B173" s="3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3"/>
      <x:c r="Q173" s="3"/>
      <x:c r="R173" s="3"/>
      <x:c r="S173" s="3"/>
      <x:c r="T173" s="3"/>
      <x:c r="U173" s="3"/>
      <x:c r="V173" s="3"/>
      <x:c r="W173" s="3"/>
      <x:c r="X173" s="3"/>
      <x:c r="Y173" s="3"/>
      <x:c r="Z173" s="3"/>
      <x:c r="AA173" s="3"/>
      <x:c r="AB173" s="3"/>
    </x:row>
    <x:row r="174" ht="21" customHeight="1">
      <x:c r="A174" s="2"/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3"/>
      <x:c r="Q174" s="3"/>
      <x:c r="R174" s="3"/>
      <x:c r="S174" s="3"/>
      <x:c r="T174" s="3"/>
      <x:c r="U174" s="3"/>
      <x:c r="V174" s="3"/>
      <x:c r="W174" s="3"/>
      <x:c r="X174" s="3"/>
      <x:c r="Y174" s="3"/>
      <x:c r="Z174" s="3"/>
      <x:c r="AA174" s="3"/>
      <x:c r="AB174" s="3"/>
    </x:row>
    <x:row r="175" ht="21" customHeight="1">
      <x:c r="A175" s="2"/>
      <x:c r="B175" s="3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3"/>
      <x:c r="Q175" s="3"/>
      <x:c r="R175" s="3"/>
      <x:c r="S175" s="3"/>
      <x:c r="T175" s="3"/>
      <x:c r="U175" s="3"/>
      <x:c r="V175" s="3"/>
      <x:c r="W175" s="3"/>
      <x:c r="X175" s="3"/>
      <x:c r="Y175" s="3"/>
      <x:c r="Z175" s="3"/>
      <x:c r="AA175" s="3"/>
      <x:c r="AB175" s="3"/>
    </x:row>
    <x:row r="176" ht="21" customHeight="1">
      <x:c r="A176" s="2"/>
      <x:c r="B176" s="3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3"/>
      <x:c r="Q176" s="3"/>
      <x:c r="R176" s="3"/>
      <x:c r="S176" s="3"/>
      <x:c r="T176" s="3"/>
      <x:c r="U176" s="3"/>
      <x:c r="V176" s="3"/>
      <x:c r="W176" s="3"/>
      <x:c r="X176" s="3"/>
      <x:c r="Y176" s="3"/>
      <x:c r="Z176" s="3"/>
      <x:c r="AA176" s="3"/>
      <x:c r="AB176" s="3"/>
    </x:row>
    <x:row r="177" ht="21" customHeight="1">
      <x:c r="A177" s="2"/>
      <x:c r="B177" s="3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3"/>
      <x:c r="Q177" s="3"/>
      <x:c r="R177" s="3"/>
      <x:c r="S177" s="3"/>
      <x:c r="T177" s="3"/>
      <x:c r="U177" s="3"/>
      <x:c r="V177" s="3"/>
      <x:c r="W177" s="3"/>
      <x:c r="X177" s="3"/>
      <x:c r="Y177" s="3"/>
      <x:c r="Z177" s="3"/>
      <x:c r="AA177" s="3"/>
      <x:c r="AB177" s="3"/>
    </x:row>
    <x:row r="178" ht="21" customHeight="1">
      <x:c r="A178" s="2"/>
      <x:c r="B178" s="3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3"/>
      <x:c r="Q178" s="3"/>
      <x:c r="R178" s="3"/>
      <x:c r="S178" s="3"/>
      <x:c r="T178" s="3"/>
      <x:c r="U178" s="3"/>
      <x:c r="V178" s="3"/>
      <x:c r="W178" s="3"/>
      <x:c r="X178" s="3"/>
      <x:c r="Y178" s="3"/>
      <x:c r="Z178" s="3"/>
      <x:c r="AA178" s="3"/>
      <x:c r="AB178" s="3"/>
    </x:row>
    <x:row r="179" ht="21" customHeight="1">
      <x:c r="A179" s="2"/>
      <x:c r="B179" s="3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3"/>
      <x:c r="Q179" s="3"/>
      <x:c r="R179" s="3"/>
      <x:c r="S179" s="3"/>
      <x:c r="T179" s="3"/>
      <x:c r="U179" s="3"/>
      <x:c r="V179" s="3"/>
      <x:c r="W179" s="3"/>
      <x:c r="X179" s="3"/>
      <x:c r="Y179" s="3"/>
      <x:c r="Z179" s="3"/>
      <x:c r="AA179" s="3"/>
      <x:c r="AB179" s="3"/>
    </x:row>
    <x:row r="180" ht="21" customHeight="1">
      <x:c r="A180" s="2"/>
      <x:c r="B180" s="3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3"/>
      <x:c r="Q180" s="3"/>
      <x:c r="R180" s="3"/>
      <x:c r="S180" s="3"/>
      <x:c r="T180" s="3"/>
      <x:c r="U180" s="3"/>
      <x:c r="V180" s="3"/>
      <x:c r="W180" s="3"/>
      <x:c r="X180" s="3"/>
      <x:c r="Y180" s="3"/>
      <x:c r="Z180" s="3"/>
      <x:c r="AA180" s="3"/>
      <x:c r="AB180" s="3"/>
    </x:row>
  </x:sheetData>
  <x:mergeCells>
    <x:mergeCell ref="A1:G1"/>
    <x:mergeCell ref="A2:G2"/>
    <x:mergeCell ref="A33:G33"/>
    <x:mergeCell ref="A35:G3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6354A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4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32" customHeight="1">
      <x:c r="A1" s="6" t="str">
        <x:v>Баланс и распределение продаж по классам</x:v>
      </x:c>
      <x:c r="B1" s="7"/>
      <x:c r="C1" s="7"/>
      <x:c r="D1" s="7"/>
      <x:c r="E1" s="7"/>
      <x:c r="F1" s="7"/>
      <x:c r="G1" s="7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</x:row>
    <x:row r="2" ht="21" customHeight="1">
      <x:c r="A2" s="2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</x:row>
    <x:row r="3" ht="21" customHeight="1">
      <x:c r="A3" s="2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  <x:c r="AA3" s="3"/>
      <x:c r="AB3" s="3"/>
    </x:row>
    <x:row r="4" ht="21" customHeight="1">
      <x:c r="A4" s="2"/>
      <x:c r="B4" s="12" t="n">
        <x:v>2026</x:v>
      </x:c>
      <x:c r="C4" s="12" t="n">
        <x:v>2027</x:v>
      </x:c>
      <x:c r="D4" s="12" t="n">
        <x:v>2028</x:v>
      </x:c>
      <x:c r="E4" s="12" t="n">
        <x:v>2029</x:v>
      </x:c>
      <x:c r="F4" s="12" t="n">
        <x:v>2030</x:v>
      </x:c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</x:row>
    <x:row r="5" ht="24" customHeight="1">
      <x:c r="A5" s="36" t="str">
        <x:v>Эконом/комфорт</x:v>
      </x:c>
      <x:c r="B5" s="37"/>
      <x:c r="C5" s="37"/>
      <x:c r="D5" s="37"/>
      <x:c r="E5" s="37"/>
      <x:c r="F5" s="37"/>
      <x:c r="G5" s="37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  <x:c r="AA5" s="3"/>
      <x:c r="AB5" s="3"/>
    </x:row>
    <x:row r="6" ht="21" customHeight="1">
      <x:c r="A6" s="2" t="str">
        <x:v>Запуски: полный год</x:v>
      </x:c>
      <x:c r="B6" s="24" t="n">
        <x:f>'Допущения'!G18</x:f>
        <x:v>907.9178239439332</x:v>
      </x:c>
      <x:c r="C6" s="24" t="n">
        <x:f>((1-'Допущения'!$B$9)*SUM(B6,B34,B62)+'Допущения'!$B$9*'Допущения'!$B$10*('Допущения'!C5+'Допущения'!D5)/2)*'Допущения'!C18</x:f>
        <x:v>1089.1313551696924</x:v>
      </x:c>
      <x:c r="D6" s="24" t="n">
        <x:f>((1-'Допущения'!$B$9)*SUM(C6,C34,C62)+'Допущения'!$B$9*'Допущения'!$B$10*('Допущения'!D5+'Допущения'!E5)/2)*'Допущения'!C18</x:f>
        <x:v>1228.5290122336228</x:v>
      </x:c>
      <x:c r="E6" s="24" t="n">
        <x:f>((1-'Допущения'!$B$9)*SUM(D6,D34,D62)+'Допущения'!$B$9*'Допущения'!$B$10*('Допущения'!E5+'Допущения'!F5)/2)*'Допущения'!C18</x:f>
        <x:v>1318.026779400158</x:v>
      </x:c>
      <x:c r="F6" s="24" t="n">
        <x:f>((1-'Допущения'!$B$9)*SUM(E6,E34,E62)+'Допущения'!$B$9*'Допущения'!$B$10*('Допущения'!F5+'Допущения'!G5)/2)*'Допущения'!C18</x:f>
        <x:v>1363.5167997237568</x:v>
      </x:c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  <x:c r="AA6" s="3"/>
      <x:c r="AB6" s="3"/>
    </x:row>
    <x:row r="7" ht="21" customHeight="1">
      <x:c r="A7" s="2" t="str">
        <x:v>Запуски: учтено на срез</x:v>
      </x:c>
      <x:c r="B7" s="24" t="n">
        <x:f>'Данные'!C39</x:f>
        <x:v>701.9852700000001</x:v>
      </x:c>
      <x:c r="C7" s="20" t="n">
        <x:f>0</x:f>
        <x:v>0</x:v>
      </x:c>
      <x:c r="D7" s="20" t="n">
        <x:f>0</x:f>
        <x:v>0</x:v>
      </x:c>
      <x:c r="E7" s="20" t="n">
        <x:f>0</x:f>
        <x:v>0</x:v>
      </x:c>
      <x:c r="F7" s="20" t="n">
        <x:f>0</x:f>
        <x:v>0</x:v>
      </x:c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  <x:c r="AA7" s="3"/>
      <x:c r="AB7" s="3"/>
    </x:row>
    <x:row r="8" ht="21" customHeight="1">
      <x:c r="A8" s="2" t="str">
        <x:v>Запуски для баланса</x:v>
      </x:c>
      <x:c r="B8" s="20" t="n">
        <x:f>B6-B7</x:f>
        <x:v>205.93255394393304</x:v>
      </x:c>
      <x:c r="C8" s="20" t="n">
        <x:f>C6-C7</x:f>
        <x:v>1089.1313551696924</x:v>
      </x:c>
      <x:c r="D8" s="20" t="n">
        <x:f>D6-D7</x:f>
        <x:v>1228.5290122336228</x:v>
      </x:c>
      <x:c r="E8" s="20" t="n">
        <x:f>E6-E7</x:f>
        <x:v>1318.026779400158</x:v>
      </x:c>
      <x:c r="F8" s="20" t="n">
        <x:f>F6-F7</x:f>
        <x:v>1363.5167997237568</x:v>
      </x:c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  <x:c r="AA8" s="3"/>
      <x:c r="AB8" s="3"/>
    </x:row>
    <x:row r="9" ht="21" customHeight="1">
      <x:c r="A9" s="2" t="str">
        <x:v>Портфель на начало периода</x:v>
      </x:c>
      <x:c r="B9" s="24" t="n">
        <x:f>SUM('Данные'!C6:C15)</x:f>
        <x:v>5829.285480000001</x:v>
      </x:c>
      <x:c r="C9" s="20" t="n">
        <x:f>B22</x:f>
        <x:v>4689.001777943934</x:v>
      </x:c>
      <x:c r="D9" s="20" t="n">
        <x:f>C22</x:f>
        <x:v>3694.7103648425978</x:v>
      </x:c>
      <x:c r="E9" s="20" t="n">
        <x:f>D22</x:f>
        <x:v>2966.9266399569415</x:v>
      </x:c>
      <x:c r="F9" s="20" t="n">
        <x:f>E22</x:f>
        <x:v>2945.9541468887187</x:v>
      </x:c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  <x:c r="V9" s="3"/>
      <x:c r="W9" s="3"/>
      <x:c r="X9" s="3"/>
      <x:c r="Y9" s="3"/>
      <x:c r="Z9" s="3"/>
      <x:c r="AA9" s="3"/>
      <x:c r="AB9" s="3"/>
    </x:row>
    <x:row r="10" ht="21" customHeight="1">
      <x:c r="A10" s="2" t="str">
        <x:v>Продано в портфеле на начало</x:v>
      </x:c>
      <x:c r="B10" s="24" t="n">
        <x:f>SUM('Данные'!D6:D15)</x:f>
        <x:v>3471.044840000001</x:v>
      </x:c>
      <x:c r="C10" s="20" t="n">
        <x:f>B23</x:f>
        <x:v>2625.4383941404876</x:v>
      </x:c>
      <x:c r="D10" s="20" t="n">
        <x:f>C23</x:f>
        <x:v>2132.102520229722</x:v>
      </x:c>
      <x:c r="E10" s="20" t="n">
        <x:f>D23</x:f>
        <x:v>1885.4590552975508</x:v>
      </x:c>
      <x:c r="F10" s="20" t="n">
        <x:f>E23</x:f>
        <x:v>1830.902373815072</x:v>
      </x:c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  <x:c r="AA10" s="3"/>
      <x:c r="AB10" s="3"/>
    </x:row>
    <x:row r="11" ht="21" customHeight="1">
      <x:c r="A11" s="2" t="str">
        <x:v>Непроданный остаток на начало</x:v>
      </x:c>
      <x:c r="B11" s="20" t="n">
        <x:f>B9-B10</x:f>
        <x:v>2358.2406400000004</x:v>
      </x:c>
      <x:c r="C11" s="20" t="n">
        <x:f>C9-C10</x:f>
        <x:v>2063.5633838034464</x:v>
      </x:c>
      <x:c r="D11" s="20" t="n">
        <x:f>D9-D10</x:f>
        <x:v>1562.6078446128759</x:v>
      </x:c>
      <x:c r="E11" s="20" t="n">
        <x:f>E9-E10</x:f>
        <x:v>1081.4675846593907</x:v>
      </x:c>
      <x:c r="F11" s="20" t="n">
        <x:f>F9-F10</x:f>
        <x:v>1115.0517730736467</x:v>
      </x:c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  <x:c r="V11" s="3"/>
      <x:c r="W11" s="3"/>
      <x:c r="X11" s="3"/>
      <x:c r="Y11" s="3"/>
      <x:c r="Z11" s="3"/>
      <x:c r="AA11" s="3"/>
      <x:c r="AB11" s="3"/>
    </x:row>
    <x:row r="12" ht="21" customHeight="1">
      <x:c r="A12" s="2" t="str">
        <x:v>Доля продаж предыдущего года</x:v>
      </x:c>
      <x:c r="B12" s="38" t="n">
        <x:f>'Данные'!G39/SUM('Данные'!G39:G41)</x:f>
        <x:v>0.4946546685268724</x:v>
      </x:c>
      <x:c r="C12" s="39" t="n">
        <x:f>B15</x:f>
        <x:v>0.4637955088412584</x:v>
      </x:c>
      <x:c r="D12" s="39" t="n">
        <x:f>C15</x:f>
        <x:v>0.40945516678901833</x:v>
      </x:c>
      <x:c r="E12" s="39" t="n">
        <x:f>D15</x:f>
        <x:v>0.3753240387954887</x:v>
      </x:c>
      <x:c r="F12" s="39" t="n">
        <x:f>E15</x:f>
        <x:v>0.3343825342251241</x:v>
      </x:c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"/>
      <x:c r="T12" s="3"/>
      <x:c r="U12" s="3"/>
      <x:c r="V12" s="3"/>
      <x:c r="W12" s="3"/>
      <x:c r="X12" s="3"/>
      <x:c r="Y12" s="3"/>
      <x:c r="Z12" s="3"/>
      <x:c r="AA12" s="3"/>
      <x:c r="AB12" s="3"/>
    </x:row>
    <x:row r="13" ht="21" customHeight="1">
      <x:c r="A13" s="2" t="str">
        <x:v>Историческая интенсивность</x:v>
      </x:c>
      <x:c r="B13" s="39" t="n">
        <x:f>AVERAGE($E$100:$E$104)</x:f>
        <x:v>0.5458953090378758</x:v>
      </x:c>
      <x:c r="C13" s="39" t="n">
        <x:f>AVERAGE($E$100:$E$104)</x:f>
        <x:v>0.5458953090378758</x:v>
      </x:c>
      <x:c r="D13" s="39" t="n">
        <x:f>AVERAGE($E$100:$E$104)</x:f>
        <x:v>0.5458953090378758</x:v>
      </x:c>
      <x:c r="E13" s="39" t="n">
        <x:f>AVERAGE($E$100:$E$104)</x:f>
        <x:v>0.5458953090378758</x:v>
      </x:c>
      <x:c r="F13" s="39" t="n">
        <x:f>AVERAGE($E$100:$E$104)</x:f>
        <x:v>0.5458953090378758</x:v>
      </x:c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  <x:c r="AA13" s="3"/>
      <x:c r="AB13" s="3"/>
    </x:row>
    <x:row r="14" ht="21" customHeight="1">
      <x:c r="A14" s="2" t="str">
        <x:v>Ориентир продаж через остаток</x:v>
      </x:c>
      <x:c r="B14" s="24" t="n">
        <x:f>B13*'Данные'!E39*(1-'Данные'!F39)</x:f>
        <x:v>1649.641034381557</x:v>
      </x:c>
      <x:c r="C14" s="20" t="n">
        <x:f>C13*C11</x:f>
        <x:v>1126.489571120627</x:v>
      </x:c>
      <x:c r="D14" s="20" t="n">
        <x:f>D13*D11</x:f>
        <x:v>853.0202922399548</x:v>
      </x:c>
      <x:c r="E14" s="20" t="n">
        <x:f>E13*E11</x:f>
        <x:v>590.3680813420831</x:v>
      </x:c>
      <x:c r="F14" s="20" t="n">
        <x:f>F13*F11</x:f>
        <x:v>608.7015322552696</x:v>
      </x:c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  <x:c r="AA14" s="3"/>
      <x:c r="AB14" s="3"/>
    </x:row>
    <x:row r="15" ht="21" customHeight="1">
      <x:c r="A15" s="2" t="str">
        <x:v>Доля прогнозных продаж</x:v>
      </x:c>
      <x:c r="B15" s="38" t="n">
        <x:f>'Допущения'!$B$13*B12+(1-'Допущения'!$B$13)*B14/SUM(B14,B42,B70)</x:f>
        <x:v>0.4637955088412584</x:v>
      </x:c>
      <x:c r="C15" s="38" t="n">
        <x:f>'Допущения'!$B$13*C12+(1-'Допущения'!$B$13)*C14/SUM(C14,C42,C70)</x:f>
        <x:v>0.40945516678901833</x:v>
      </x:c>
      <x:c r="D15" s="38" t="n">
        <x:f>'Допущения'!$B$13*D12+(1-'Допущения'!$B$13)*D14/SUM(D14,D42,D70)</x:f>
        <x:v>0.3753240387954887</x:v>
      </x:c>
      <x:c r="E15" s="38" t="n">
        <x:f>'Допущения'!$B$13*E12+(1-'Допущения'!$B$13)*E14/SUM(E14,E42,E70)</x:f>
        <x:v>0.3343825342251241</x:v>
      </x:c>
      <x:c r="F15" s="38" t="n">
        <x:f>'Допущения'!$B$13*F12+(1-'Допущения'!$B$13)*F14/SUM(F14,F42,F70)</x:f>
        <x:v>0.3215687610956133</x:v>
      </x:c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  <x:c r="AA15" s="3"/>
      <x:c r="AB15" s="3"/>
    </x:row>
    <x:row r="16" ht="21" customHeight="1">
      <x:c r="A16" s="2" t="str">
        <x:v>Продажи: полный год</x:v>
      </x:c>
      <x:c r="B16" s="24" t="n">
        <x:f>'Допущения'!B5*B15</x:f>
        <x:v>1229.9856894470174</x:v>
      </x:c>
      <x:c r="C16" s="24" t="n">
        <x:f>'Допущения'!C5*C15</x:f>
        <x:v>1120.2693363347541</x:v>
      </x:c>
      <x:c r="D16" s="24" t="n">
        <x:f>'Допущения'!D5*D15</x:f>
        <x:v>1178.5174818178346</x:v>
      </x:c>
      <x:c r="E16" s="24" t="n">
        <x:f>'Допущения'!E5*E15</x:f>
        <x:v>1110.150013627412</x:v>
      </x:c>
      <x:c r="F16" s="24" t="n">
        <x:f>'Допущения'!F5*F15</x:f>
        <x:v>1069.8592681651053</x:v>
      </x:c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  <x:c r="AA16" s="3"/>
      <x:c r="AB16" s="3"/>
    </x:row>
    <x:row r="17" ht="21" customHeight="1">
      <x:c r="A17" s="2" t="str">
        <x:v>Продажи для баланса</x:v>
      </x:c>
      <x:c r="B17" s="24" t="n">
        <x:f>(B16-'Данные'!D39)*'Допущения'!$B$14</x:f>
        <x:v>232.80464208526303</x:v>
      </x:c>
      <x:c r="C17" s="20" t="n">
        <x:f>C16</x:f>
        <x:v>1120.2693363347541</x:v>
      </x:c>
      <x:c r="D17" s="20" t="n">
        <x:f>D16</x:f>
        <x:v>1178.5174818178346</x:v>
      </x:c>
      <x:c r="E17" s="20" t="n">
        <x:f>E16</x:f>
        <x:v>1110.150013627412</x:v>
      </x:c>
      <x:c r="F17" s="20" t="n">
        <x:f>F16</x:f>
        <x:v>1069.8592681651053</x:v>
      </x:c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  <x:c r="AA17" s="3"/>
      <x:c r="AB17" s="3"/>
    </x:row>
    <x:row r="18" ht="21" customHeight="1">
      <x:c r="A18" s="2" t="str">
        <x:v>Нераспределенные продажи</x:v>
      </x:c>
      <x:c r="B18" s="24" t="n">
        <x:f>ROUND(B17-SUM('Когорты'!U6:U15),8)</x:f>
        <x:v>0</x:v>
      </x:c>
      <x:c r="C18" s="24" t="n">
        <x:f>ROUND(C17-SUM('Когорты'!U16:U25),8)</x:f>
        <x:v>0</x:v>
      </x:c>
      <x:c r="D18" s="24" t="n">
        <x:f>ROUND(D17-SUM('Когорты'!U26:U35),8)</x:f>
        <x:v>0</x:v>
      </x:c>
      <x:c r="E18" s="24" t="n">
        <x:f>ROUND(E17-SUM('Когорты'!U36:U45),8)</x:f>
        <x:v>0</x:v>
      </x:c>
      <x:c r="F18" s="24" t="n">
        <x:f>ROUND(F17-SUM('Когорты'!U46:U55),8)</x:f>
        <x:v>0</x:v>
      </x:c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  <x:c r="AA18" s="3"/>
      <x:c r="AB18" s="3"/>
    </x:row>
    <x:row r="19" ht="21" customHeight="1">
      <x:c r="A19" s="2" t="str">
        <x:v>Вводы для баланса</x:v>
      </x:c>
      <x:c r="B19" s="24" t="n">
        <x:f>SUM('Когорты'!V6:V15)</x:f>
        <x:v>1346.2162560000002</x:v>
      </x:c>
      <x:c r="C19" s="24" t="n">
        <x:f>SUM('Когорты'!V16:V25)</x:f>
        <x:v>2078.1556760070584</x:v>
      </x:c>
      <x:c r="D19" s="24" t="n">
        <x:f>SUM('Когорты'!V26:V35)</x:f>
        <x:v>1952.162518948792</x:v>
      </x:c>
      <x:c r="E19" s="24" t="n">
        <x:f>SUM('Когорты'!V36:V45)</x:f>
        <x:v>1335.6665639105404</x:v>
      </x:c>
      <x:c r="F19" s="24" t="n">
        <x:f>SUM('Когорты'!V46:V55)</x:f>
        <x:v>1185.576267035492</x:v>
      </x:c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  <x:c r="AA19" s="3"/>
      <x:c r="AB19" s="3"/>
    </x:row>
    <x:row r="20" ht="21" customHeight="1">
      <x:c r="A20" s="2" t="str">
        <x:v>Вводы: полный год</x:v>
      </x:c>
      <x:c r="B20" s="24" t="n">
        <x:f>B19+'Данные'!B39</x:f>
        <x:v>3038.5595359999998</x:v>
      </x:c>
      <x:c r="C20" s="20" t="n">
        <x:f>C19</x:f>
        <x:v>2078.1556760070584</x:v>
      </x:c>
      <x:c r="D20" s="20" t="n">
        <x:f>D19</x:f>
        <x:v>1952.162518948792</x:v>
      </x:c>
      <x:c r="E20" s="20" t="n">
        <x:f>E19</x:f>
        <x:v>1335.6665639105404</x:v>
      </x:c>
      <x:c r="F20" s="20" t="n">
        <x:f>F19</x:f>
        <x:v>1185.576267035492</x:v>
      </x:c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  <x:c r="AA20" s="3"/>
      <x:c r="AB20" s="3"/>
    </x:row>
    <x:row r="21" ht="21" customHeight="1">
      <x:c r="A21" s="2" t="str">
        <x:v>Корректировка портфеля за год</x:v>
      </x:c>
      <x:c r="B21" s="20" t="n">
        <x:f>0</x:f>
        <x:v>0</x:v>
      </x:c>
      <x:c r="C21" s="24" t="n">
        <x:f>C9*'Допущения'!$B$11</x:f>
        <x:v>-5.2670922639696425</x:v>
      </x:c>
      <x:c r="D21" s="24" t="n">
        <x:f>D9*'Допущения'!$B$11</x:f>
        <x:v>-4.150218170487456</x:v>
      </x:c>
      <x:c r="E21" s="24" t="n">
        <x:f>E9*'Допущения'!$B$11</x:f>
        <x:v>-3.332708557840411</x:v>
      </x:c>
      <x:c r="F21" s="24" t="n">
        <x:f>F9*'Допущения'!$B$11</x:f>
        <x:v>-3.3091504400944567</x:v>
      </x:c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  <x:c r="AA21" s="3"/>
      <x:c r="AB21" s="3"/>
    </x:row>
    <x:row r="22" ht="21" customHeight="1">
      <x:c r="A22" s="40" t="str">
        <x:v>Портфель на конец года</x:v>
      </x:c>
      <x:c r="B22" s="41" t="n">
        <x:f>SUM('Когорты'!Z6:Z15)+B27</x:f>
        <x:v>4689.001777943934</x:v>
      </x:c>
      <x:c r="C22" s="41" t="n">
        <x:f>SUM('Когорты'!Z16:Z25)+C27</x:f>
        <x:v>3694.7103648425978</x:v>
      </x:c>
      <x:c r="D22" s="41" t="n">
        <x:f>SUM('Когорты'!Z26:Z35)+D27</x:f>
        <x:v>2966.9266399569415</x:v>
      </x:c>
      <x:c r="E22" s="41" t="n">
        <x:f>SUM('Когорты'!Z36:Z45)+E27</x:f>
        <x:v>2945.9541468887187</x:v>
      </x:c>
      <x:c r="F22" s="41" t="n">
        <x:f>SUM('Когорты'!Z46:Z55)+F27</x:f>
        <x:v>3120.58552913689</x:v>
      </x:c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  <x:c r="AA22" s="3"/>
      <x:c r="AB22" s="3"/>
    </x:row>
    <x:row r="23" ht="21" customHeight="1">
      <x:c r="A23" s="2" t="str">
        <x:v>Продано в конечном портфеле</x:v>
      </x:c>
      <x:c r="B23" s="24" t="n">
        <x:f>SUM('Когорты'!AA6:AA15)+B28</x:f>
        <x:v>2625.4383941404876</x:v>
      </x:c>
      <x:c r="C23" s="24" t="n">
        <x:f>SUM('Когорты'!AA16:AA25)+C28</x:f>
        <x:v>2132.102520229722</x:v>
      </x:c>
      <x:c r="D23" s="24" t="n">
        <x:f>SUM('Когорты'!AA26:AA35)+D28</x:f>
        <x:v>1885.4590552975508</x:v>
      </x:c>
      <x:c r="E23" s="24" t="n">
        <x:f>SUM('Когорты'!AA36:AA45)+E28</x:f>
        <x:v>1830.902373815072</x:v>
      </x:c>
      <x:c r="F23" s="24" t="n">
        <x:f>SUM('Когорты'!AA46:AA55)+F28</x:f>
        <x:v>1804.9917629385093</x:v>
      </x:c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/>
      <x:c r="V23" s="3"/>
      <x:c r="W23" s="3"/>
      <x:c r="X23" s="3"/>
      <x:c r="Y23" s="3"/>
      <x:c r="Z23" s="3"/>
      <x:c r="AA23" s="3"/>
      <x:c r="AB23" s="3"/>
    </x:row>
    <x:row r="24" ht="21" customHeight="1">
      <x:c r="A24" s="40" t="str">
        <x:v>Текущая распроданность</x:v>
      </x:c>
      <x:c r="B24" s="42" t="n">
        <x:f>IF(B22&gt;0,B23/B22,0)</x:f>
        <x:v>0.5599141391862956</x:v>
      </x:c>
      <x:c r="C24" s="42" t="n">
        <x:f>IF(C22&gt;0,C23/C22,0)</x:f>
        <x:v>0.5770689200750256</x:v>
      </x:c>
      <x:c r="D24" s="42" t="n">
        <x:f>IF(D22&gt;0,D23/D22,0)</x:f>
        <x:v>0.6354923070578227</x:v>
      </x:c>
      <x:c r="E24" s="42" t="n">
        <x:f>IF(E22&gt;0,E23/E22,0)</x:f>
        <x:v>0.621497240800141</x:v>
      </x:c>
      <x:c r="F24" s="42" t="n">
        <x:f>IF(F22&gt;0,F23/F22,0)</x:f>
        <x:v>0.5784144501361399</x:v>
      </x:c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/>
      <x:c r="V24" s="3"/>
      <x:c r="W24" s="3"/>
      <x:c r="X24" s="3"/>
      <x:c r="Y24" s="3"/>
      <x:c r="Z24" s="3"/>
      <x:c r="AA24" s="3"/>
      <x:c r="AB24" s="3"/>
    </x:row>
    <x:row r="25" ht="21" customHeight="1">
      <x:c r="A25" s="40" t="str">
        <x:v>Непроданный остаток на конец</x:v>
      </x:c>
      <x:c r="B25" s="43" t="n">
        <x:f>B22-B23</x:f>
        <x:v>2063.5633838034464</x:v>
      </x:c>
      <x:c r="C25" s="43" t="n">
        <x:f>C22-C23</x:f>
        <x:v>1562.6078446128759</x:v>
      </x:c>
      <x:c r="D25" s="43" t="n">
        <x:f>D22-D23</x:f>
        <x:v>1081.4675846593907</x:v>
      </x:c>
      <x:c r="E25" s="43" t="n">
        <x:f>E22-E23</x:f>
        <x:v>1115.0517730736467</x:v>
      </x:c>
      <x:c r="F25" s="43" t="n">
        <x:f>F22-F23</x:f>
        <x:v>1315.5937661983805</x:v>
      </x:c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  <x:c r="W25" s="3"/>
      <x:c r="X25" s="3"/>
      <x:c r="Y25" s="3"/>
      <x:c r="Z25" s="3"/>
      <x:c r="AA25" s="3"/>
      <x:c r="AB25" s="3"/>
    </x:row>
    <x:row r="26" ht="21" customHeight="1">
      <x:c r="A26" s="2" t="str">
        <x:v>Проверка баланса</x:v>
      </x:c>
      <x:c r="B26" s="20" t="n">
        <x:f>ROUND(B22-(B9+B8-B19+B21),8)</x:f>
        <x:v>0</x:v>
      </x:c>
      <x:c r="C26" s="20" t="n">
        <x:f>ROUND(C22-(C9+C8-C19+C21),8)</x:f>
        <x:v>0</x:v>
      </x:c>
      <x:c r="D26" s="20" t="n">
        <x:f>ROUND(D22-(D9+D8-D19+D21),8)</x:f>
        <x:v>0</x:v>
      </x:c>
      <x:c r="E26" s="20" t="n">
        <x:f>ROUND(E22-(E9+E8-E19+E21),8)</x:f>
        <x:v>0</x:v>
      </x:c>
      <x:c r="F26" s="20" t="n">
        <x:f>ROUND(F22-(F9+F8-F19+F21),8)</x:f>
        <x:v>0</x:v>
      </x:c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/>
      <x:c r="X26" s="3"/>
      <x:c r="Y26" s="3"/>
      <x:c r="Z26" s="3"/>
      <x:c r="AA26" s="3"/>
      <x:c r="AB26" s="3"/>
    </x:row>
    <x:row r="27" ht="21" customHeight="1">
      <x:c r="A27" s="2" t="str">
        <x:v>Накопленная корр. портфеля</x:v>
      </x:c>
      <x:c r="B27" s="20" t="n">
        <x:f>B21</x:f>
        <x:v>0</x:v>
      </x:c>
      <x:c r="C27" s="20" t="n">
        <x:f>B27+C21</x:f>
        <x:v>-5.2670922639696425</x:v>
      </x:c>
      <x:c r="D27" s="20" t="n">
        <x:f>C27+D21</x:f>
        <x:v>-9.417310434457098</x:v>
      </x:c>
      <x:c r="E27" s="20" t="n">
        <x:f>D27+E21</x:f>
        <x:v>-12.750018992297509</x:v>
      </x:c>
      <x:c r="F27" s="20" t="n">
        <x:f>E27+F21</x:f>
        <x:v>-16.059169432391965</x:v>
      </x:c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  <x:c r="AA27" s="3"/>
      <x:c r="AB27" s="3"/>
    </x:row>
    <x:row r="28" ht="21" customHeight="1">
      <x:c r="A28" s="2" t="str">
        <x:v>Накопленная корр. продано</x:v>
      </x:c>
      <x:c r="B28" s="20" t="n">
        <x:f>0+B29</x:f>
        <x:v>0</x:v>
      </x:c>
      <x:c r="C28" s="20" t="n">
        <x:f>B28+C29</x:f>
        <x:v>-3.039475244704484</x:v>
      </x:c>
      <x:c r="D28" s="20" t="n">
        <x:f>C28+D29</x:f>
        <x:v>-5.676906964660853</x:v>
      </x:c>
      <x:c r="E28" s="20" t="n">
        <x:f>D28+E29</x:f>
        <x:v>-7.748176137749685</x:v>
      </x:c>
      <x:c r="F28" s="20" t="n">
        <x:f>E28+F29</x:f>
        <x:v>-9.662236569974686</x:v>
      </x:c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  <x:c r="AA28" s="3"/>
      <x:c r="AB28" s="3"/>
    </x:row>
    <x:row r="29" ht="21" customHeight="1">
      <x:c r="A29" s="2" t="str">
        <x:v>Корректировка продано за год</x:v>
      </x:c>
      <x:c r="B29" s="24" t="n">
        <x:f>IF(SUM('Когорты'!Z6:Z15)+0&gt;0,B21*(SUM('Когорты'!AA6:AA15)+0)/(SUM('Когорты'!Z6:Z15)+0),0)</x:f>
        <x:v>0</x:v>
      </x:c>
      <x:c r="C29" s="24" t="n">
        <x:f>IF(SUM('Когорты'!Z16:Z25)+B27&gt;0,C21*(SUM('Когорты'!AA16:AA25)+B28)/(SUM('Когорты'!Z16:Z25)+B27),0)</x:f>
        <x:v>-3.039475244704484</x:v>
      </x:c>
      <x:c r="D29" s="24" t="n">
        <x:f>IF(SUM('Когорты'!Z26:Z35)+C27&gt;0,D21*(SUM('Когорты'!AA26:AA35)+C28)/(SUM('Когорты'!Z26:Z35)+C27),0)</x:f>
        <x:v>-2.637431719956369</x:v>
      </x:c>
      <x:c r="E29" s="24" t="n">
        <x:f>IF(SUM('Когорты'!Z36:Z45)+D27&gt;0,E21*(SUM('Когорты'!AA36:AA45)+D28)/(SUM('Когорты'!Z36:Z45)+D27),0)</x:f>
        <x:v>-2.071269173088832</x:v>
      </x:c>
      <x:c r="F29" s="24" t="n">
        <x:f>IF(SUM('Когорты'!Z46:Z55)+E27&gt;0,F21*(SUM('Когорты'!AA46:AA55)+E28)/(SUM('Когорты'!Z46:Z55)+E27),0)</x:f>
        <x:v>-1.9140604322250008</x:v>
      </x:c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  <x:c r="AA29" s="3"/>
      <x:c r="AB29" s="3"/>
    </x:row>
    <x:row r="30" ht="21" customHeight="1">
      <x:c r="A30" s="2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  <x:c r="AA30" s="3"/>
      <x:c r="AB30" s="3"/>
    </x:row>
    <x:row r="31" ht="21" customHeight="1">
      <x:c r="A31" s="2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  <x:c r="AA31" s="3"/>
      <x:c r="AB31" s="3"/>
    </x:row>
    <x:row r="32" ht="21" customHeight="1">
      <x:c r="A32" s="2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  <x:c r="AA32" s="3"/>
      <x:c r="AB32" s="3"/>
    </x:row>
    <x:row r="33" ht="24" customHeight="1">
      <x:c r="A33" s="36" t="str">
        <x:v>Бизнес</x:v>
      </x:c>
      <x:c r="B33" s="37"/>
      <x:c r="C33" s="37"/>
      <x:c r="D33" s="37"/>
      <x:c r="E33" s="37"/>
      <x:c r="F33" s="37"/>
      <x:c r="G33" s="37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  <x:c r="AA33" s="3"/>
      <x:c r="AB33" s="3"/>
    </x:row>
    <x:row r="34" ht="21" customHeight="1">
      <x:c r="A34" s="2" t="str">
        <x:v>Запуски: полный год</x:v>
      </x:c>
      <x:c r="B34" s="24" t="n">
        <x:f>'Допущения'!G19</x:f>
        <x:v>803.7462660560672</x:v>
      </x:c>
      <x:c r="C34" s="24" t="n">
        <x:f>((1-'Допущения'!$B$9)*SUM(B6,B34,B62)+'Допущения'!$B$9*'Допущения'!$B$10*('Допущения'!C5+'Допущения'!D5)/2)*'Допущения'!C19</x:f>
        <x:v>991.1794988161012</x:v>
      </x:c>
      <x:c r="D34" s="24" t="n">
        <x:f>((1-'Допущения'!$B$9)*SUM(C6,C34,C62)+'Допущения'!$B$9*'Допущения'!$B$10*('Допущения'!D5+'Допущения'!E5)/2)*'Допущения'!C19</x:f>
        <x:v>1118.040321625888</x:v>
      </x:c>
      <x:c r="E34" s="24" t="n">
        <x:f>((1-'Допущения'!$B$9)*SUM(D6,D34,D62)+'Допущения'!$B$9*'Допущения'!$B$10*('Допущения'!E5+'Допущения'!F5)/2)*'Допущения'!C19</x:f>
        <x:v>1199.4890390686662</x:v>
      </x:c>
      <x:c r="F34" s="24" t="n">
        <x:f>((1-'Допущения'!$B$9)*SUM(E6,E34,E62)+'Допущения'!$B$9*'Допущения'!$B$10*('Допущения'!F5+'Допущения'!G5)/2)*'Допущения'!C19</x:f>
        <x:v>1240.8878798342541</x:v>
      </x:c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  <x:c r="AA34" s="3"/>
      <x:c r="AB34" s="3"/>
    </x:row>
    <x:row r="35" ht="21" customHeight="1">
      <x:c r="A35" s="2" t="str">
        <x:v>Запуски: учтено на срез</x:v>
      </x:c>
      <x:c r="B35" s="24" t="n">
        <x:f>'Данные'!C40</x:f>
        <x:v>438.54860999999994</x:v>
      </x:c>
      <x:c r="C35" s="20" t="n">
        <x:f>0</x:f>
        <x:v>0</x:v>
      </x:c>
      <x:c r="D35" s="20" t="n">
        <x:f>0</x:f>
        <x:v>0</x:v>
      </x:c>
      <x:c r="E35" s="20" t="n">
        <x:f>0</x:f>
        <x:v>0</x:v>
      </x:c>
      <x:c r="F35" s="20" t="n">
        <x:f>0</x:f>
        <x:v>0</x:v>
      </x:c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  <x:c r="AA35" s="3"/>
      <x:c r="AB35" s="3"/>
    </x:row>
    <x:row r="36" ht="21" customHeight="1">
      <x:c r="A36" s="2" t="str">
        <x:v>Запуски для баланса</x:v>
      </x:c>
      <x:c r="B36" s="20" t="n">
        <x:f>B34-B35</x:f>
        <x:v>365.1976560560672</x:v>
      </x:c>
      <x:c r="C36" s="20" t="n">
        <x:f>C34-C35</x:f>
        <x:v>991.1794988161012</x:v>
      </x:c>
      <x:c r="D36" s="20" t="n">
        <x:f>D34-D35</x:f>
        <x:v>1118.040321625888</x:v>
      </x:c>
      <x:c r="E36" s="20" t="n">
        <x:f>E34-E35</x:f>
        <x:v>1199.4890390686662</x:v>
      </x:c>
      <x:c r="F36" s="20" t="n">
        <x:f>F34-F35</x:f>
        <x:v>1240.8878798342541</x:v>
      </x:c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  <x:c r="AA36" s="3"/>
      <x:c r="AB36" s="3"/>
    </x:row>
    <x:row r="37" ht="21" customHeight="1">
      <x:c r="A37" s="2" t="str">
        <x:v>Портфель на начало периода</x:v>
      </x:c>
      <x:c r="B37" s="24" t="n">
        <x:f>SUM('Данные'!C16:C25)</x:f>
        <x:v>5789.80108</x:v>
      </x:c>
      <x:c r="C37" s="20" t="n">
        <x:f>B50</x:f>
        <x:v>5566.851432056067</x:v>
      </x:c>
      <x:c r="D37" s="20" t="n">
        <x:f>C50</x:f>
        <x:v>4471.183921094365</x:v>
      </x:c>
      <x:c r="E37" s="20" t="n">
        <x:f>D50</x:f>
        <x:v>3885.4516300393543</x:v>
      </x:c>
      <x:c r="F37" s="20" t="n">
        <x:f>E50</x:f>
        <x:v>3765.8029563994955</x:v>
      </x:c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  <x:c r="AA37" s="3"/>
      <x:c r="AB37" s="3"/>
    </x:row>
    <x:row r="38" ht="21" customHeight="1">
      <x:c r="A38" s="2" t="str">
        <x:v>Продано в портфеле на начало</x:v>
      </x:c>
      <x:c r="B38" s="24" t="n">
        <x:f>SUM('Данные'!D16:D25)</x:f>
        <x:v>2727.44276</x:v>
      </x:c>
      <x:c r="C38" s="20" t="n">
        <x:f>B51</x:f>
        <x:v>2510.0155234701983</x:v>
      </x:c>
      <x:c r="D38" s="20" t="n">
        <x:f>C51</x:f>
        <x:v>2101.53870128301</x:v>
      </x:c>
      <x:c r="E38" s="20" t="n">
        <x:f>D51</x:f>
        <x:v>2017.3873894719993</x:v>
      </x:c>
      <x:c r="F38" s="20" t="n">
        <x:f>E51</x:f>
        <x:v>2002.0168579081524</x:v>
      </x:c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  <x:c r="AA38" s="3"/>
      <x:c r="AB38" s="3"/>
    </x:row>
    <x:row r="39" ht="21" customHeight="1">
      <x:c r="A39" s="2" t="str">
        <x:v>Непроданный остаток на начало</x:v>
      </x:c>
      <x:c r="B39" s="20" t="n">
        <x:f>B37-B38</x:f>
        <x:v>3062.3583200000003</x:v>
      </x:c>
      <x:c r="C39" s="20" t="n">
        <x:f>C37-C38</x:f>
        <x:v>3056.8359085858688</x:v>
      </x:c>
      <x:c r="D39" s="20" t="n">
        <x:f>D37-D38</x:f>
        <x:v>2369.645219811355</x:v>
      </x:c>
      <x:c r="E39" s="20" t="n">
        <x:f>E37-E38</x:f>
        <x:v>1868.064240567355</x:v>
      </x:c>
      <x:c r="F39" s="20" t="n">
        <x:f>F37-F38</x:f>
        <x:v>1763.7860984913432</x:v>
      </x:c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  <x:c r="AA39" s="3"/>
      <x:c r="AB39" s="3"/>
    </x:row>
    <x:row r="40" ht="21" customHeight="1">
      <x:c r="A40" s="2" t="str">
        <x:v>Доля продаж предыдущего года</x:v>
      </x:c>
      <x:c r="B40" s="38" t="n">
        <x:f>'Данные'!G40/SUM('Данные'!G39:G41)</x:f>
        <x:v>0.36642134610578775</x:v>
      </x:c>
      <x:c r="C40" s="39" t="n">
        <x:f>B43</x:f>
        <x:v>0.38029537250116985</x:v>
      </x:c>
      <x:c r="D40" s="39" t="n">
        <x:f>C43</x:f>
        <x:v>0.39218798715875103</x:v>
      </x:c>
      <x:c r="E40" s="39" t="n">
        <x:f>D43</x:f>
        <x:v>0.39481703168632293</x:v>
      </x:c>
      <x:c r="F40" s="39" t="n">
        <x:f>E43</x:f>
        <x:v>0.39208523957365204</x:v>
      </x:c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  <x:c r="AA40" s="3"/>
      <x:c r="AB40" s="3"/>
    </x:row>
    <x:row r="41" ht="21" customHeight="1">
      <x:c r="A41" s="2" t="str">
        <x:v>Историческая интенсивность</x:v>
      </x:c>
      <x:c r="B41" s="39" t="n">
        <x:f>AVERAGE($E$105:$E$109)</x:f>
        <x:v>0.41932837249687693</x:v>
      </x:c>
      <x:c r="C41" s="39" t="n">
        <x:f>AVERAGE($E$105:$E$109)</x:f>
        <x:v>0.41932837249687693</x:v>
      </x:c>
      <x:c r="D41" s="39" t="n">
        <x:f>AVERAGE($E$105:$E$109)</x:f>
        <x:v>0.41932837249687693</x:v>
      </x:c>
      <x:c r="E41" s="39" t="n">
        <x:f>AVERAGE($E$105:$E$109)</x:f>
        <x:v>0.41932837249687693</x:v>
      </x:c>
      <x:c r="F41" s="39" t="n">
        <x:f>AVERAGE($E$105:$E$109)</x:f>
        <x:v>0.41932837249687693</x:v>
      </x:c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  <x:c r="AA41" s="3"/>
      <x:c r="AB41" s="3"/>
    </x:row>
    <x:row r="42" ht="21" customHeight="1">
      <x:c r="A42" s="2" t="str">
        <x:v>Ориентир продаж через остаток</x:v>
      </x:c>
      <x:c r="B42" s="24" t="n">
        <x:f>B41*'Данные'!E40*(1-'Данные'!F40)</x:f>
        <x:v>1501.9252049069642</x:v>
      </x:c>
      <x:c r="C42" s="20" t="n">
        <x:f>C41*C39</x:f>
        <x:v>1281.8180265373244</x:v>
      </x:c>
      <x:c r="D42" s="20" t="n">
        <x:f>D41*D39</x:f>
        <x:v>993.6594734184998</x:v>
      </x:c>
      <x:c r="E42" s="20" t="n">
        <x:f>E41*E39</x:f>
        <x:v>783.3323377167234</x:v>
      </x:c>
      <x:c r="F42" s="20" t="n">
        <x:f>F41*F39</x:f>
        <x:v>739.6055541129912</x:v>
      </x:c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  <x:c r="AA42" s="3"/>
      <x:c r="AB42" s="3"/>
    </x:row>
    <x:row r="43" ht="21" customHeight="1">
      <x:c r="A43" s="2" t="str">
        <x:v>Доля прогнозных продаж</x:v>
      </x:c>
      <x:c r="B43" s="38" t="n">
        <x:f>'Допущения'!$B$13*B40+(1-'Допущения'!$B$13)*B42/SUM(B14,B42,B70)</x:f>
        <x:v>0.38029537250116985</x:v>
      </x:c>
      <x:c r="C43" s="38" t="n">
        <x:f>'Допущения'!$B$13*C40+(1-'Допущения'!$B$13)*C42/SUM(C14,C42,C70)</x:f>
        <x:v>0.39218798715875103</x:v>
      </x:c>
      <x:c r="D43" s="38" t="n">
        <x:f>'Допущения'!$B$13*D40+(1-'Допущения'!$B$13)*D42/SUM(D14,D42,D70)</x:f>
        <x:v>0.39481703168632293</x:v>
      </x:c>
      <x:c r="E43" s="38" t="n">
        <x:f>'Допущения'!$B$13*E40+(1-'Допущения'!$B$13)*E42/SUM(E14,E42,E70)</x:f>
        <x:v>0.39208523957365204</x:v>
      </x:c>
      <x:c r="F43" s="38" t="n">
        <x:f>'Допущения'!$B$13*F40+(1-'Допущения'!$B$13)*F42/SUM(F14,F42,F70)</x:f>
        <x:v>0.38361969316279193</x:v>
      </x:c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  <x:c r="AA43" s="3"/>
      <x:c r="AB43" s="3"/>
    </x:row>
    <x:row r="44" ht="21" customHeight="1">
      <x:c r="A44" s="2" t="str">
        <x:v>Продажи: полный год</x:v>
      </x:c>
      <x:c r="B44" s="24" t="n">
        <x:f>'Допущения'!B5*B43</x:f>
        <x:v>1008.5433278731024</x:v>
      </x:c>
      <x:c r="C44" s="24" t="n">
        <x:f>'Допущения'!C5*C43</x:f>
        <x:v>1073.0263328663427</x:v>
      </x:c>
      <x:c r="D44" s="24" t="n">
        <x:f>'Допущения'!D5*D43</x:f>
        <x:v>1239.725479495054</x:v>
      </x:c>
      <x:c r="E44" s="24" t="n">
        <x:f>'Допущения'!E5*E43</x:f>
        <x:v>1301.722995384525</x:v>
      </x:c>
      <x:c r="F44" s="24" t="n">
        <x:f>'Допущения'!F5*F43</x:f>
        <x:v>1276.3027191526087</x:v>
      </x:c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  <x:c r="AA44" s="3"/>
      <x:c r="AB44" s="3"/>
    </x:row>
    <x:row r="45" ht="21" customHeight="1">
      <x:c r="A45" s="2" t="str">
        <x:v>Продажи для баланса</x:v>
      </x:c>
      <x:c r="B45" s="24" t="n">
        <x:f>(B44-'Данные'!D40)*'Допущения'!$B$14</x:f>
        <x:v>205.86306590482675</x:v>
      </x:c>
      <x:c r="C45" s="20" t="n">
        <x:f>C44</x:f>
        <x:v>1073.0263328663427</x:v>
      </x:c>
      <x:c r="D45" s="20" t="n">
        <x:f>D44</x:f>
        <x:v>1239.725479495054</x:v>
      </x:c>
      <x:c r="E45" s="20" t="n">
        <x:f>E44</x:f>
        <x:v>1301.722995384525</x:v>
      </x:c>
      <x:c r="F45" s="20" t="n">
        <x:f>F44</x:f>
        <x:v>1276.3027191526087</x:v>
      </x:c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  <x:c r="AA45" s="3"/>
      <x:c r="AB45" s="3"/>
    </x:row>
    <x:row r="46" ht="21" customHeight="1">
      <x:c r="A46" s="2" t="str">
        <x:v>Нераспределенные продажи</x:v>
      </x:c>
      <x:c r="B46" s="24" t="n">
        <x:f>ROUND(B45-SUM('Когорты'!U56:U65),8)</x:f>
        <x:v>0</x:v>
      </x:c>
      <x:c r="C46" s="24" t="n">
        <x:f>ROUND(C45-SUM('Когорты'!U66:U75),8)</x:f>
        <x:v>0</x:v>
      </x:c>
      <x:c r="D46" s="24" t="n">
        <x:f>ROUND(D45-SUM('Когорты'!U76:U85),8)</x:f>
        <x:v>0</x:v>
      </x:c>
      <x:c r="E46" s="24" t="n">
        <x:f>ROUND(E45-SUM('Когорты'!U86:U95),8)</x:f>
        <x:v>0</x:v>
      </x:c>
      <x:c r="F46" s="24" t="n">
        <x:f>ROUND(F45-SUM('Когорты'!U96:U105),8)</x:f>
        <x:v>0</x:v>
      </x:c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  <x:c r="AA46" s="3"/>
      <x:c r="AB46" s="3"/>
    </x:row>
    <x:row r="47" ht="21" customHeight="1">
      <x:c r="A47" s="2" t="str">
        <x:v>Вводы для баланса</x:v>
      </x:c>
      <x:c r="B47" s="24" t="n">
        <x:f>SUM('Когорты'!V56:V65)</x:f>
        <x:v>588.147304</x:v>
      </x:c>
      <x:c r="C47" s="24" t="n">
        <x:f>SUM('Когорты'!V66:V75)</x:f>
        <x:v>2080.5938408729903</x:v>
      </x:c>
      <x:c r="D47" s="24" t="n">
        <x:f>SUM('Когорты'!V76:V85)</x:f>
        <x:v>1698.7501922688718</x:v>
      </x:c>
      <x:c r="E47" s="24" t="n">
        <x:f>SUM('Когорты'!V86:V95)</x:f>
        <x:v>1314.7732374552054</x:v>
      </x:c>
      <x:c r="F47" s="24" t="n">
        <x:f>SUM('Когорты'!V96:V105)</x:f>
        <x:v>867.5117428637762</x:v>
      </x:c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  <x:c r="AA47" s="3"/>
      <x:c r="AB47" s="3"/>
    </x:row>
    <x:row r="48" ht="21" customHeight="1">
      <x:c r="A48" s="2" t="str">
        <x:v>Вводы: полный год</x:v>
      </x:c>
      <x:c r="B48" s="24" t="n">
        <x:f>B47+'Данные'!B40</x:f>
        <x:v>1587.030134</x:v>
      </x:c>
      <x:c r="C48" s="20" t="n">
        <x:f>C47</x:f>
        <x:v>2080.5938408729903</x:v>
      </x:c>
      <x:c r="D48" s="20" t="n">
        <x:f>D47</x:f>
        <x:v>1698.7501922688718</x:v>
      </x:c>
      <x:c r="E48" s="20" t="n">
        <x:f>E47</x:f>
        <x:v>1314.7732374552054</x:v>
      </x:c>
      <x:c r="F48" s="20" t="n">
        <x:f>F47</x:f>
        <x:v>867.5117428637762</x:v>
      </x:c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  <x:c r="AA48" s="3"/>
      <x:c r="AB48" s="3"/>
    </x:row>
    <x:row r="49" ht="21" customHeight="1">
      <x:c r="A49" s="2" t="str">
        <x:v>Корректировка портфеля за год</x:v>
      </x:c>
      <x:c r="B49" s="20" t="n">
        <x:f>0</x:f>
        <x:v>0</x:v>
      </x:c>
      <x:c r="C49" s="24" t="n">
        <x:f>C37*'Допущения'!$B$11</x:f>
        <x:v>-6.253168904812778</x:v>
      </x:c>
      <x:c r="D49" s="24" t="n">
        <x:f>D37*'Допущения'!$B$11</x:f>
        <x:v>-5.022420412028083</x:v>
      </x:c>
      <x:c r="E49" s="24" t="n">
        <x:f>E37*'Допущения'!$B$11</x:f>
        <x:v>-4.364475253319731</x:v>
      </x:c>
      <x:c r="F49" s="24" t="n">
        <x:f>F37*'Допущения'!$B$11</x:f>
        <x:v>-4.230075516836999</x:v>
      </x:c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  <x:c r="Y49" s="3"/>
      <x:c r="Z49" s="3"/>
      <x:c r="AA49" s="3"/>
      <x:c r="AB49" s="3"/>
    </x:row>
    <x:row r="50" ht="21" customHeight="1">
      <x:c r="A50" s="40" t="str">
        <x:v>Портфель на конец года</x:v>
      </x:c>
      <x:c r="B50" s="41" t="n">
        <x:f>SUM('Когорты'!Z56:Z65)+B55</x:f>
        <x:v>5566.851432056067</x:v>
      </x:c>
      <x:c r="C50" s="41" t="n">
        <x:f>SUM('Когорты'!Z66:Z75)+C55</x:f>
        <x:v>4471.183921094365</x:v>
      </x:c>
      <x:c r="D50" s="41" t="n">
        <x:f>SUM('Когорты'!Z76:Z85)+D55</x:f>
        <x:v>3885.4516300393543</x:v>
      </x:c>
      <x:c r="E50" s="41" t="n">
        <x:f>SUM('Когорты'!Z86:Z95)+E55</x:f>
        <x:v>3765.8029563994955</x:v>
      </x:c>
      <x:c r="F50" s="41" t="n">
        <x:f>SUM('Когорты'!Z96:Z105)+F55</x:f>
        <x:v>4134.949017853137</x:v>
      </x:c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  <x:c r="Y50" s="3"/>
      <x:c r="Z50" s="3"/>
      <x:c r="AA50" s="3"/>
      <x:c r="AB50" s="3"/>
    </x:row>
    <x:row r="51" ht="21" customHeight="1">
      <x:c r="A51" s="2" t="str">
        <x:v>Продано в конечном портфеле</x:v>
      </x:c>
      <x:c r="B51" s="24" t="n">
        <x:f>SUM('Когорты'!AA56:AA65)+B56</x:f>
        <x:v>2510.0155234701983</x:v>
      </x:c>
      <x:c r="C51" s="24" t="n">
        <x:f>SUM('Когорты'!AA66:AA75)+C56</x:f>
        <x:v>2101.53870128301</x:v>
      </x:c>
      <x:c r="D51" s="24" t="n">
        <x:f>SUM('Когорты'!AA76:AA85)+D56</x:f>
        <x:v>2017.3873894719993</x:v>
      </x:c>
      <x:c r="E51" s="24" t="n">
        <x:f>SUM('Когорты'!AA86:AA95)+E56</x:f>
        <x:v>2002.0168579081524</x:v>
      </x:c>
      <x:c r="F51" s="24" t="n">
        <x:f>SUM('Когорты'!AA96:AA105)+F56</x:f>
        <x:v>2408.344084993291</x:v>
      </x:c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  <x:c r="Y51" s="3"/>
      <x:c r="Z51" s="3"/>
      <x:c r="AA51" s="3"/>
      <x:c r="AB51" s="3"/>
    </x:row>
    <x:row r="52" ht="21" customHeight="1">
      <x:c r="A52" s="40" t="str">
        <x:v>Текущая распроданность</x:v>
      </x:c>
      <x:c r="B52" s="42" t="n">
        <x:f>IF(B50&gt;0,B51/B50,0)</x:f>
        <x:v>0.4508860267074069</x:v>
      </x:c>
      <x:c r="C52" s="42" t="n">
        <x:f>IF(C50&gt;0,C51/C50,0)</x:f>
        <x:v>0.4700183974468754</x:v>
      </x:c>
      <x:c r="D52" s="42" t="n">
        <x:f>IF(D50&gt;0,D51/D50,0)</x:f>
        <x:v>0.5192156746657444</x:v>
      </x:c>
      <x:c r="E52" s="42" t="n">
        <x:f>IF(E50&gt;0,E51/E50,0)</x:f>
        <x:v>0.5316308051928165</x:v>
      </x:c>
      <x:c r="F52" s="42" t="n">
        <x:f>IF(F50&gt;0,F51/F50,0)</x:f>
        <x:v>0.5824362222109577</x:v>
      </x:c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  <x:c r="AA52" s="3"/>
      <x:c r="AB52" s="3"/>
    </x:row>
    <x:row r="53" ht="21" customHeight="1">
      <x:c r="A53" s="40" t="str">
        <x:v>Непроданный остаток на конец</x:v>
      </x:c>
      <x:c r="B53" s="43" t="n">
        <x:f>B50-B51</x:f>
        <x:v>3056.8359085858688</x:v>
      </x:c>
      <x:c r="C53" s="43" t="n">
        <x:f>C50-C51</x:f>
        <x:v>2369.645219811355</x:v>
      </x:c>
      <x:c r="D53" s="43" t="n">
        <x:f>D50-D51</x:f>
        <x:v>1868.064240567355</x:v>
      </x:c>
      <x:c r="E53" s="43" t="n">
        <x:f>E50-E51</x:f>
        <x:v>1763.7860984913432</x:v>
      </x:c>
      <x:c r="F53" s="43" t="n">
        <x:f>F50-F51</x:f>
        <x:v>1726.604932859846</x:v>
      </x:c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  <x:c r="AA53" s="3"/>
      <x:c r="AB53" s="3"/>
    </x:row>
    <x:row r="54" ht="21" customHeight="1">
      <x:c r="A54" s="2" t="str">
        <x:v>Проверка баланса</x:v>
      </x:c>
      <x:c r="B54" s="20" t="n">
        <x:f>ROUND(B50-(B37+B36-B47+B49),8)</x:f>
        <x:v>0</x:v>
      </x:c>
      <x:c r="C54" s="20" t="n">
        <x:f>ROUND(C50-(C37+C36-C47+C49),8)</x:f>
        <x:v>0</x:v>
      </x:c>
      <x:c r="D54" s="20" t="n">
        <x:f>ROUND(D50-(D37+D36-D47+D49),8)</x:f>
        <x:v>0</x:v>
      </x:c>
      <x:c r="E54" s="20" t="n">
        <x:f>ROUND(E50-(E37+E36-E47+E49),8)</x:f>
        <x:v>0</x:v>
      </x:c>
      <x:c r="F54" s="20" t="n">
        <x:f>ROUND(F50-(F37+F36-F47+F49),8)</x:f>
        <x:v>0</x:v>
      </x:c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  <x:c r="AA54" s="3"/>
      <x:c r="AB54" s="3"/>
    </x:row>
    <x:row r="55" ht="21" customHeight="1">
      <x:c r="A55" s="2" t="str">
        <x:v>Накопленная корр. портфеля</x:v>
      </x:c>
      <x:c r="B55" s="20" t="n">
        <x:f>B49</x:f>
        <x:v>0</x:v>
      </x:c>
      <x:c r="C55" s="20" t="n">
        <x:f>B55+C49</x:f>
        <x:v>-6.253168904812778</x:v>
      </x:c>
      <x:c r="D55" s="20" t="n">
        <x:f>C55+D49</x:f>
        <x:v>-11.275589316840861</x:v>
      </x:c>
      <x:c r="E55" s="20" t="n">
        <x:f>D55+E49</x:f>
        <x:v>-15.640064570160593</x:v>
      </x:c>
      <x:c r="F55" s="20" t="n">
        <x:f>E55+F49</x:f>
        <x:v>-19.870140086997594</x:v>
      </x:c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  <x:c r="AA55" s="3"/>
      <x:c r="AB55" s="3"/>
    </x:row>
    <x:row r="56" ht="21" customHeight="1">
      <x:c r="A56" s="2" t="str">
        <x:v>Накопленная корр. продано</x:v>
      </x:c>
      <x:c r="B56" s="20" t="n">
        <x:f>0+B57</x:f>
        <x:v>0</x:v>
      </x:c>
      <x:c r="C56" s="20" t="n">
        <x:f>B56+C57</x:f>
        <x:v>-2.9391044276047347</x:v>
      </x:c>
      <x:c r="D56" s="20" t="n">
        <x:f>C56+D57</x:f>
        <x:v>-5.546823830290901</x:v>
      </x:c>
      <x:c r="E56" s="20" t="n">
        <x:f>D56+E57</x:f>
        <x:v>-7.867113323457391</x:v>
      </x:c>
      <x:c r="F56" s="20" t="n">
        <x:f>E56+F57</x:f>
        <x:v>-10.330862527150998</x:v>
      </x:c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/>
      <x:c r="X56" s="3"/>
      <x:c r="Y56" s="3"/>
      <x:c r="Z56" s="3"/>
      <x:c r="AA56" s="3"/>
      <x:c r="AB56" s="3"/>
    </x:row>
    <x:row r="57" ht="21" customHeight="1">
      <x:c r="A57" s="2" t="str">
        <x:v>Корректировка продано за год</x:v>
      </x:c>
      <x:c r="B57" s="24" t="n">
        <x:f>IF(SUM('Когорты'!Z56:Z65)+0&gt;0,B49*(SUM('Когорты'!AA56:AA65)+0)/(SUM('Когорты'!Z56:Z65)+0),0)</x:f>
        <x:v>0</x:v>
      </x:c>
      <x:c r="C57" s="24" t="n">
        <x:f>IF(SUM('Когорты'!Z66:Z75)+B55&gt;0,C49*(SUM('Когорты'!AA66:AA75)+B56)/(SUM('Когорты'!Z66:Z75)+B55),0)</x:f>
        <x:v>-2.9391044276047347</x:v>
      </x:c>
      <x:c r="D57" s="24" t="n">
        <x:f>IF(SUM('Когорты'!Z76:Z85)+C55&gt;0,D49*(SUM('Когорты'!AA76:AA85)+C56)/(SUM('Когорты'!Z76:Z85)+C55),0)</x:f>
        <x:v>-2.6077194026861665</x:v>
      </x:c>
      <x:c r="E57" s="24" t="n">
        <x:f>IF(SUM('Когорты'!Z86:Z95)+D55&gt;0,E49*(SUM('Когорты'!AA86:AA95)+D56)/(SUM('Когорты'!Z86:Z95)+D55),0)</x:f>
        <x:v>-2.3202894931664906</x:v>
      </x:c>
      <x:c r="F57" s="24" t="n">
        <x:f>IF(SUM('Когорты'!Z96:Z105)+E55&gt;0,F49*(SUM('Когорты'!AA96:AA105)+E56)/(SUM('Когорты'!Z96:Z105)+E55),0)</x:f>
        <x:v>-2.463749203693606</x:v>
      </x:c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  <x:c r="V57" s="3"/>
      <x:c r="W57" s="3"/>
      <x:c r="X57" s="3"/>
      <x:c r="Y57" s="3"/>
      <x:c r="Z57" s="3"/>
      <x:c r="AA57" s="3"/>
      <x:c r="AB57" s="3"/>
    </x:row>
    <x:row r="58" ht="21" customHeight="1">
      <x:c r="A58" s="2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  <x:c r="V58" s="3"/>
      <x:c r="W58" s="3"/>
      <x:c r="X58" s="3"/>
      <x:c r="Y58" s="3"/>
      <x:c r="Z58" s="3"/>
      <x:c r="AA58" s="3"/>
      <x:c r="AB58" s="3"/>
    </x:row>
    <x:row r="59" ht="21" customHeight="1">
      <x:c r="A59" s="2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  <x:c r="V59" s="3"/>
      <x:c r="W59" s="3"/>
      <x:c r="X59" s="3"/>
      <x:c r="Y59" s="3"/>
      <x:c r="Z59" s="3"/>
      <x:c r="AA59" s="3"/>
      <x:c r="AB59" s="3"/>
    </x:row>
    <x:row r="60" ht="21" customHeight="1">
      <x:c r="A60" s="2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  <x:c r="V60" s="3"/>
      <x:c r="W60" s="3"/>
      <x:c r="X60" s="3"/>
      <x:c r="Y60" s="3"/>
      <x:c r="Z60" s="3"/>
      <x:c r="AA60" s="3"/>
      <x:c r="AB60" s="3"/>
    </x:row>
    <x:row r="61" ht="24" customHeight="1">
      <x:c r="A61" s="36" t="str">
        <x:v>Элитный</x:v>
      </x:c>
      <x:c r="B61" s="37"/>
      <x:c r="C61" s="37"/>
      <x:c r="D61" s="37"/>
      <x:c r="E61" s="37"/>
      <x:c r="F61" s="37"/>
      <x:c r="G61" s="37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  <x:c r="V61" s="3"/>
      <x:c r="W61" s="3"/>
      <x:c r="X61" s="3"/>
      <x:c r="Y61" s="3"/>
      <x:c r="Z61" s="3"/>
      <x:c r="AA61" s="3"/>
      <x:c r="AB61" s="3"/>
    </x:row>
    <x:row r="62" ht="21" customHeight="1">
      <x:c r="A62" s="2" t="str">
        <x:v>Запуски: полный год</x:v>
      </x:c>
      <x:c r="B62" s="24" t="n">
        <x:f>'Допущения'!G20</x:f>
        <x:v>822.3359099999999</x:v>
      </x:c>
      <x:c r="C62" s="24" t="n">
        <x:f>((1-'Допущения'!$B$9)*SUM(B6,B34,B62)+'Допущения'!$B$9*'Допущения'!$B$10*('Допущения'!C5+'Допущения'!D5)/2)*'Допущения'!C20</x:f>
        <x:v>874.5701460142068</x:v>
      </x:c>
      <x:c r="D62" s="24" t="n">
        <x:f>((1-'Допущения'!$B$9)*SUM(C6,C34,C62)+'Допущения'!$B$9*'Допущения'!$B$10*('Допущения'!D5+'Допущения'!E5)/2)*'Допущения'!C20</x:f>
        <x:v>986.5061661404893</x:v>
      </x:c>
      <x:c r="E62" s="24" t="n">
        <x:f>((1-'Допущения'!$B$9)*SUM(D6,D34,D62)+'Допущения'!$B$9*'Допущения'!$B$10*('Допущения'!E5+'Допущения'!F5)/2)*'Допущения'!C20</x:f>
        <x:v>1058.3726815311759</x:v>
      </x:c>
      <x:c r="F62" s="24" t="n">
        <x:f>((1-'Допущения'!$B$9)*SUM(E6,E34,E62)+'Допущения'!$B$9*'Допущения'!$B$10*('Допущения'!F5+'Допущения'!G5)/2)*'Допущения'!C20</x:f>
        <x:v>1094.9010704419888</x:v>
      </x:c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  <x:c r="T62" s="3"/>
      <x:c r="U62" s="3"/>
      <x:c r="V62" s="3"/>
      <x:c r="W62" s="3"/>
      <x:c r="X62" s="3"/>
      <x:c r="Y62" s="3"/>
      <x:c r="Z62" s="3"/>
      <x:c r="AA62" s="3"/>
      <x:c r="AB62" s="3"/>
    </x:row>
    <x:row r="63" ht="21" customHeight="1">
      <x:c r="A63" s="2" t="str">
        <x:v>Запуски: учтено на срез</x:v>
      </x:c>
      <x:c r="B63" s="24" t="n">
        <x:f>'Данные'!C41</x:f>
        <x:v>822.3359099999999</x:v>
      </x:c>
      <x:c r="C63" s="20" t="n">
        <x:f>0</x:f>
        <x:v>0</x:v>
      </x:c>
      <x:c r="D63" s="20" t="n">
        <x:f>0</x:f>
        <x:v>0</x:v>
      </x:c>
      <x:c r="E63" s="20" t="n">
        <x:f>0</x:f>
        <x:v>0</x:v>
      </x:c>
      <x:c r="F63" s="20" t="n">
        <x:f>0</x:f>
        <x:v>0</x:v>
      </x:c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  <x:c r="T63" s="3"/>
      <x:c r="U63" s="3"/>
      <x:c r="V63" s="3"/>
      <x:c r="W63" s="3"/>
      <x:c r="X63" s="3"/>
      <x:c r="Y63" s="3"/>
      <x:c r="Z63" s="3"/>
      <x:c r="AA63" s="3"/>
      <x:c r="AB63" s="3"/>
    </x:row>
    <x:row r="64" ht="21" customHeight="1">
      <x:c r="A64" s="2" t="str">
        <x:v>Запуски для баланса</x:v>
      </x:c>
      <x:c r="B64" s="20" t="n">
        <x:f>B62-B63</x:f>
        <x:v>0</x:v>
      </x:c>
      <x:c r="C64" s="20" t="n">
        <x:f>C62-C63</x:f>
        <x:v>874.5701460142068</x:v>
      </x:c>
      <x:c r="D64" s="20" t="n">
        <x:f>D62-D63</x:f>
        <x:v>986.5061661404893</x:v>
      </x:c>
      <x:c r="E64" s="20" t="n">
        <x:f>E62-E63</x:f>
        <x:v>1058.3726815311759</x:v>
      </x:c>
      <x:c r="F64" s="20" t="n">
        <x:f>F62-F63</x:f>
        <x:v>1094.9010704419888</x:v>
      </x:c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  <x:c r="AA64" s="3"/>
      <x:c r="AB64" s="3"/>
    </x:row>
    <x:row r="65" ht="21" customHeight="1">
      <x:c r="A65" s="2" t="str">
        <x:v>Портфель на начало периода</x:v>
      </x:c>
      <x:c r="B65" s="24" t="n">
        <x:f>SUM('Данные'!C26:C35)</x:f>
        <x:v>4073.8931700000003</x:v>
      </x:c>
      <x:c r="C65" s="20" t="n">
        <x:f>B78</x:f>
        <x:v>3704.7382020000005</x:v>
      </x:c>
      <x:c r="D65" s="20" t="n">
        <x:f>C78</x:f>
        <x:v>3180.4955090098974</x:v>
      </x:c>
      <x:c r="E65" s="20" t="n">
        <x:f>D78</x:f>
        <x:v>3229.1764077258217</x:v>
      </x:c>
      <x:c r="F65" s="20" t="n">
        <x:f>E78</x:f>
        <x:v>3409.0561946144403</x:v>
      </x:c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  <x:c r="T65" s="3"/>
      <x:c r="U65" s="3"/>
      <x:c r="V65" s="3"/>
      <x:c r="W65" s="3"/>
      <x:c r="X65" s="3"/>
      <x:c r="Y65" s="3"/>
      <x:c r="Z65" s="3"/>
      <x:c r="AA65" s="3"/>
      <x:c r="AB65" s="3"/>
    </x:row>
    <x:row r="66" ht="21" customHeight="1">
      <x:c r="A66" s="2" t="str">
        <x:v>Продано в портфеле на начало</x:v>
      </x:c>
      <x:c r="B66" s="24" t="n">
        <x:f>SUM('Данные'!D26:D35)</x:f>
        <x:v>1308.01876</x:v>
      </x:c>
      <x:c r="C66" s="20" t="n">
        <x:f>B79</x:f>
        <x:v>1148.8610743295142</x:v>
      </x:c>
      <x:c r="D66" s="20" t="n">
        <x:f>C79</x:f>
        <x:v>994.1588521600931</x:v>
      </x:c>
      <x:c r="E66" s="20" t="n">
        <x:f>D79</x:f>
        <x:v>1093.872772640074</x:v>
      </x:c>
      <x:c r="F66" s="20" t="n">
        <x:f>E79</x:f>
        <x:v>1323.9929820831094</x:v>
      </x:c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  <x:c r="T66" s="3"/>
      <x:c r="U66" s="3"/>
      <x:c r="V66" s="3"/>
      <x:c r="W66" s="3"/>
      <x:c r="X66" s="3"/>
      <x:c r="Y66" s="3"/>
      <x:c r="Z66" s="3"/>
      <x:c r="AA66" s="3"/>
      <x:c r="AB66" s="3"/>
    </x:row>
    <x:row r="67" ht="21" customHeight="1">
      <x:c r="A67" s="2" t="str">
        <x:v>Непроданный остаток на начало</x:v>
      </x:c>
      <x:c r="B67" s="20" t="n">
        <x:f>B65-B66</x:f>
        <x:v>2765.8744100000004</x:v>
      </x:c>
      <x:c r="C67" s="20" t="n">
        <x:f>C65-C66</x:f>
        <x:v>2555.8771276704865</x:v>
      </x:c>
      <x:c r="D67" s="20" t="n">
        <x:f>D65-D66</x:f>
        <x:v>2186.336656849804</x:v>
      </x:c>
      <x:c r="E67" s="20" t="n">
        <x:f>E65-E66</x:f>
        <x:v>2135.303635085748</x:v>
      </x:c>
      <x:c r="F67" s="20" t="n">
        <x:f>F65-F66</x:f>
        <x:v>2085.063212531331</x:v>
      </x:c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  <x:c r="T67" s="3"/>
      <x:c r="U67" s="3"/>
      <x:c r="V67" s="3"/>
      <x:c r="W67" s="3"/>
      <x:c r="X67" s="3"/>
      <x:c r="Y67" s="3"/>
      <x:c r="Z67" s="3"/>
      <x:c r="AA67" s="3"/>
      <x:c r="AB67" s="3"/>
    </x:row>
    <x:row r="68" ht="21" customHeight="1">
      <x:c r="A68" s="2" t="str">
        <x:v>Доля продаж предыдущего года</x:v>
      </x:c>
      <x:c r="B68" s="38" t="n">
        <x:f>'Данные'!G41/SUM('Данные'!G39:G41)</x:f>
        <x:v>0.13892398536733977</x:v>
      </x:c>
      <x:c r="C68" s="39" t="n">
        <x:f>B71</x:f>
        <x:v>0.15590911865757173</x:v>
      </x:c>
      <x:c r="D68" s="39" t="n">
        <x:f>C71</x:f>
        <x:v>0.19835684605223067</x:v>
      </x:c>
      <x:c r="E68" s="39" t="n">
        <x:f>D71</x:f>
        <x:v>0.22985892951818837</x:v>
      </x:c>
      <x:c r="F68" s="39" t="n">
        <x:f>E71</x:f>
        <x:v>0.27353222620122386</x:v>
      </x:c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  <x:c r="AA68" s="3"/>
      <x:c r="AB68" s="3"/>
    </x:row>
    <x:row r="69" ht="21" customHeight="1">
      <x:c r="A69" s="2" t="str">
        <x:v>Историческая интенсивность</x:v>
      </x:c>
      <x:c r="B69" s="39" t="n">
        <x:f>AVERAGE($E$110:$E$114)</x:f>
        <x:v>0.2988705563208911</x:v>
      </x:c>
      <x:c r="C69" s="39" t="n">
        <x:f>AVERAGE($E$110:$E$114)</x:f>
        <x:v>0.2988705563208911</x:v>
      </x:c>
      <x:c r="D69" s="39" t="n">
        <x:f>AVERAGE($E$110:$E$114)</x:f>
        <x:v>0.2988705563208911</x:v>
      </x:c>
      <x:c r="E69" s="39" t="n">
        <x:f>AVERAGE($E$110:$E$114)</x:f>
        <x:v>0.2988705563208911</x:v>
      </x:c>
      <x:c r="F69" s="39" t="n">
        <x:f>AVERAGE($E$110:$E$114)</x:f>
        <x:v>0.2988705563208911</x:v>
      </x:c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  <x:c r="T69" s="3"/>
      <x:c r="U69" s="3"/>
      <x:c r="V69" s="3"/>
      <x:c r="W69" s="3"/>
      <x:c r="X69" s="3"/>
      <x:c r="Y69" s="3"/>
      <x:c r="Z69" s="3"/>
      <x:c r="AA69" s="3"/>
      <x:c r="AB69" s="3"/>
    </x:row>
    <x:row r="70" ht="21" customHeight="1">
      <x:c r="A70" s="2" t="str">
        <x:v>Ориентир продаж через остаток</x:v>
      </x:c>
      <x:c r="B70" s="24" t="n">
        <x:f>B69*'Данные'!E41*(1-'Данные'!F41)</x:f>
        <x:v>658.7884181544284</x:v>
      </x:c>
      <x:c r="C70" s="20" t="n">
        <x:f>C69*C67</x:f>
        <x:v>763.8764190347196</x:v>
      </x:c>
      <x:c r="D70" s="20" t="n">
        <x:f>D69*D67</x:f>
        <x:v>653.4316529374581</x:v>
      </x:c>
      <x:c r="E70" s="20" t="n">
        <x:f>E69*E67</x:f>
        <x:v>638.1793853320985</x:v>
      </x:c>
      <x:c r="F70" s="20" t="n">
        <x:f>F69*F67</x:f>
        <x:v>623.1640022934632</x:v>
      </x:c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  <x:c r="T70" s="3"/>
      <x:c r="U70" s="3"/>
      <x:c r="V70" s="3"/>
      <x:c r="W70" s="3"/>
      <x:c r="X70" s="3"/>
      <x:c r="Y70" s="3"/>
      <x:c r="Z70" s="3"/>
      <x:c r="AA70" s="3"/>
      <x:c r="AB70" s="3"/>
    </x:row>
    <x:row r="71" ht="21" customHeight="1">
      <x:c r="A71" s="2" t="str">
        <x:v>Доля прогнозных продаж</x:v>
      </x:c>
      <x:c r="B71" s="38" t="n">
        <x:f>'Допущения'!$B$13*B68+(1-'Допущения'!$B$13)*B70/SUM(B14,B42,B70)</x:f>
        <x:v>0.15590911865757173</x:v>
      </x:c>
      <x:c r="C71" s="38" t="n">
        <x:f>'Допущения'!$B$13*C68+(1-'Допущения'!$B$13)*C70/SUM(C14,C42,C70)</x:f>
        <x:v>0.19835684605223067</x:v>
      </x:c>
      <x:c r="D71" s="38" t="n">
        <x:f>'Допущения'!$B$13*D68+(1-'Допущения'!$B$13)*D70/SUM(D14,D42,D70)</x:f>
        <x:v>0.22985892951818837</x:v>
      </x:c>
      <x:c r="E71" s="38" t="n">
        <x:f>'Допущения'!$B$13*E68+(1-'Допущения'!$B$13)*E70/SUM(E14,E42,E70)</x:f>
        <x:v>0.27353222620122386</x:v>
      </x:c>
      <x:c r="F71" s="38" t="n">
        <x:f>'Допущения'!$B$13*F68+(1-'Допущения'!$B$13)*F70/SUM(F14,F42,F70)</x:f>
        <x:v>0.29481154574159474</x:v>
      </x:c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  <x:c r="T71" s="3"/>
      <x:c r="U71" s="3"/>
      <x:c r="V71" s="3"/>
      <x:c r="W71" s="3"/>
      <x:c r="X71" s="3"/>
      <x:c r="Y71" s="3"/>
      <x:c r="Z71" s="3"/>
      <x:c r="AA71" s="3"/>
      <x:c r="AB71" s="3"/>
    </x:row>
    <x:row r="72" ht="21" customHeight="1">
      <x:c r="A72" s="2" t="str">
        <x:v>Продажи: полный год</x:v>
      </x:c>
      <x:c r="B72" s="24" t="n">
        <x:f>'Допущения'!B5*B71</x:f>
        <x:v>413.47098267988025</x:v>
      </x:c>
      <x:c r="C72" s="24" t="n">
        <x:f>'Допущения'!C5*C71</x:f>
        <x:v>542.7043307989031</x:v>
      </x:c>
      <x:c r="D72" s="24" t="n">
        <x:f>'Допущения'!D5*D71</x:f>
        <x:v>721.7570386871115</x:v>
      </x:c>
      <x:c r="E72" s="24" t="n">
        <x:f>'Допущения'!E5*E71</x:f>
        <x:v>908.1269909880632</x:v>
      </x:c>
      <x:c r="F72" s="24" t="n">
        <x:f>'Допущения'!F5*F71</x:f>
        <x:v>980.8380126822857</x:v>
      </x:c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  <x:c r="T72" s="3"/>
      <x:c r="U72" s="3"/>
      <x:c r="V72" s="3"/>
      <x:c r="W72" s="3"/>
      <x:c r="X72" s="3"/>
      <x:c r="Y72" s="3"/>
      <x:c r="Z72" s="3"/>
      <x:c r="AA72" s="3"/>
      <x:c r="AB72" s="3"/>
    </x:row>
    <x:row r="73" ht="21" customHeight="1">
      <x:c r="A73" s="2" t="str">
        <x:v>Продажи для баланса</x:v>
      </x:c>
      <x:c r="B73" s="24" t="n">
        <x:f>(B72-'Данные'!D41)*'Допущения'!$B$14</x:f>
        <x:v>81.86205950991018</x:v>
      </x:c>
      <x:c r="C73" s="20" t="n">
        <x:f>C72</x:f>
        <x:v>542.7043307989031</x:v>
      </x:c>
      <x:c r="D73" s="20" t="n">
        <x:f>D72</x:f>
        <x:v>721.7570386871115</x:v>
      </x:c>
      <x:c r="E73" s="20" t="n">
        <x:f>E72</x:f>
        <x:v>908.1269909880632</x:v>
      </x:c>
      <x:c r="F73" s="20" t="n">
        <x:f>F72</x:f>
        <x:v>980.8380126822857</x:v>
      </x:c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  <x:c r="T73" s="3"/>
      <x:c r="U73" s="3"/>
      <x:c r="V73" s="3"/>
      <x:c r="W73" s="3"/>
      <x:c r="X73" s="3"/>
      <x:c r="Y73" s="3"/>
      <x:c r="Z73" s="3"/>
      <x:c r="AA73" s="3"/>
      <x:c r="AB73" s="3"/>
    </x:row>
    <x:row r="74" ht="21" customHeight="1">
      <x:c r="A74" s="2" t="str">
        <x:v>Нераспределенные продажи</x:v>
      </x:c>
      <x:c r="B74" s="24" t="n">
        <x:f>ROUND(B73-SUM('Когорты'!U106:U115),8)</x:f>
        <x:v>0</x:v>
      </x:c>
      <x:c r="C74" s="24" t="n">
        <x:f>ROUND(C73-SUM('Когорты'!U116:U125),8)</x:f>
        <x:v>0</x:v>
      </x:c>
      <x:c r="D74" s="24" t="n">
        <x:f>ROUND(D73-SUM('Когорты'!U126:U135),8)</x:f>
        <x:v>0</x:v>
      </x:c>
      <x:c r="E74" s="24" t="n">
        <x:f>ROUND(E73-SUM('Когорты'!U136:U145),8)</x:f>
        <x:v>0</x:v>
      </x:c>
      <x:c r="F74" s="24" t="n">
        <x:f>ROUND(F73-SUM('Когорты'!U146:U155),8)</x:f>
        <x:v>0</x:v>
      </x:c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  <x:c r="T74" s="3"/>
      <x:c r="U74" s="3"/>
      <x:c r="V74" s="3"/>
      <x:c r="W74" s="3"/>
      <x:c r="X74" s="3"/>
      <x:c r="Y74" s="3"/>
      <x:c r="Z74" s="3"/>
      <x:c r="AA74" s="3"/>
      <x:c r="AB74" s="3"/>
    </x:row>
    <x:row r="75" ht="21" customHeight="1">
      <x:c r="A75" s="2" t="str">
        <x:v>Вводы для баланса</x:v>
      </x:c>
      <x:c r="B75" s="24" t="n">
        <x:f>SUM('Когорты'!V106:V115)</x:f>
        <x:v>369.1549679999999</x:v>
      </x:c>
      <x:c r="C75" s="24" t="n">
        <x:f>SUM('Когорты'!V116:V125)</x:f>
        <x:v>1394.6513566999997</x:v>
      </x:c>
      <x:c r="D75" s="24" t="n">
        <x:f>SUM('Когорты'!V126:V135)</x:f>
        <x:v>934.2526598452941</x:v>
      </x:c>
      <x:c r="E75" s="24" t="n">
        <x:f>SUM('Когорты'!V136:V145)</x:f>
        <x:v>874.8656044683181</x:v>
      </x:c>
      <x:c r="F75" s="24" t="n">
        <x:f>SUM('Когорты'!V146:V155)</x:f>
        <x:v>764.9561576124137</x:v>
      </x:c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  <x:c r="T75" s="3"/>
      <x:c r="U75" s="3"/>
      <x:c r="V75" s="3"/>
      <x:c r="W75" s="3"/>
      <x:c r="X75" s="3"/>
      <x:c r="Y75" s="3"/>
      <x:c r="Z75" s="3"/>
      <x:c r="AA75" s="3"/>
      <x:c r="AB75" s="3"/>
    </x:row>
    <x:row r="76" ht="21" customHeight="1">
      <x:c r="A76" s="2" t="str">
        <x:v>Вводы: полный год</x:v>
      </x:c>
      <x:c r="B76" s="24" t="n">
        <x:f>B75+'Данные'!B41</x:f>
        <x:v>679.4719679999998</x:v>
      </x:c>
      <x:c r="C76" s="20" t="n">
        <x:f>C75</x:f>
        <x:v>1394.6513566999997</x:v>
      </x:c>
      <x:c r="D76" s="20" t="n">
        <x:f>D75</x:f>
        <x:v>934.2526598452941</x:v>
      </x:c>
      <x:c r="E76" s="20" t="n">
        <x:f>E75</x:f>
        <x:v>874.8656044683181</x:v>
      </x:c>
      <x:c r="F76" s="20" t="n">
        <x:f>F75</x:f>
        <x:v>764.9561576124137</x:v>
      </x:c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  <x:c r="T76" s="3"/>
      <x:c r="U76" s="3"/>
      <x:c r="V76" s="3"/>
      <x:c r="W76" s="3"/>
      <x:c r="X76" s="3"/>
      <x:c r="Y76" s="3"/>
      <x:c r="Z76" s="3"/>
      <x:c r="AA76" s="3"/>
      <x:c r="AB76" s="3"/>
    </x:row>
    <x:row r="77" ht="21" customHeight="1">
      <x:c r="A77" s="2" t="str">
        <x:v>Корректировка портфеля за год</x:v>
      </x:c>
      <x:c r="B77" s="20" t="n">
        <x:f>0</x:f>
        <x:v>0</x:v>
      </x:c>
      <x:c r="C77" s="24" t="n">
        <x:f>C65*'Допущения'!$B$11</x:f>
        <x:v>-4.161482304308976</x:v>
      </x:c>
      <x:c r="D77" s="24" t="n">
        <x:f>D65*'Допущения'!$B$11</x:f>
        <x:v>-3.572607579270686</x:v>
      </x:c>
      <x:c r="E77" s="24" t="n">
        <x:f>E65*'Допущения'!$B$11</x:f>
        <x:v>-3.627290174239154</x:v>
      </x:c>
      <x:c r="F77" s="24" t="n">
        <x:f>F65*'Допущения'!$B$11</x:f>
        <x:v>-3.8293467054228536</x:v>
      </x:c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  <x:c r="AA77" s="3"/>
      <x:c r="AB77" s="3"/>
    </x:row>
    <x:row r="78" ht="21" customHeight="1">
      <x:c r="A78" s="40" t="str">
        <x:v>Портфель на конец года</x:v>
      </x:c>
      <x:c r="B78" s="41" t="n">
        <x:f>SUM('Когорты'!Z106:Z115)+B83</x:f>
        <x:v>3704.7382020000005</x:v>
      </x:c>
      <x:c r="C78" s="41" t="n">
        <x:f>SUM('Когорты'!Z116:Z125)+C83</x:f>
        <x:v>3180.4955090098974</x:v>
      </x:c>
      <x:c r="D78" s="41" t="n">
        <x:f>SUM('Когорты'!Z126:Z135)+D83</x:f>
        <x:v>3229.1764077258217</x:v>
      </x:c>
      <x:c r="E78" s="41" t="n">
        <x:f>SUM('Когорты'!Z136:Z145)+E83</x:f>
        <x:v>3409.0561946144403</x:v>
      </x:c>
      <x:c r="F78" s="41" t="n">
        <x:f>SUM('Когорты'!Z146:Z155)+F83</x:f>
        <x:v>3735.171760738592</x:v>
      </x:c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  <x:c r="T78" s="3"/>
      <x:c r="U78" s="3"/>
      <x:c r="V78" s="3"/>
      <x:c r="W78" s="3"/>
      <x:c r="X78" s="3"/>
      <x:c r="Y78" s="3"/>
      <x:c r="Z78" s="3"/>
      <x:c r="AA78" s="3"/>
      <x:c r="AB78" s="3"/>
    </x:row>
    <x:row r="79" ht="21" customHeight="1">
      <x:c r="A79" s="2" t="str">
        <x:v>Продано в конечном портфеле</x:v>
      </x:c>
      <x:c r="B79" s="24" t="n">
        <x:f>SUM('Когорты'!AA106:AA115)+B84</x:f>
        <x:v>1148.8610743295142</x:v>
      </x:c>
      <x:c r="C79" s="24" t="n">
        <x:f>SUM('Когорты'!AA116:AA125)+C84</x:f>
        <x:v>994.1588521600931</x:v>
      </x:c>
      <x:c r="D79" s="24" t="n">
        <x:f>SUM('Когорты'!AA126:AA135)+D84</x:f>
        <x:v>1093.872772640074</x:v>
      </x:c>
      <x:c r="E79" s="24" t="n">
        <x:f>SUM('Когорты'!AA136:AA145)+E84</x:f>
        <x:v>1323.9929820831094</x:v>
      </x:c>
      <x:c r="F79" s="24" t="n">
        <x:f>SUM('Когорты'!AA146:AA155)+F84</x:f>
        <x:v>1538.297754273098</x:v>
      </x:c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  <x:c r="T79" s="3"/>
      <x:c r="U79" s="3"/>
      <x:c r="V79" s="3"/>
      <x:c r="W79" s="3"/>
      <x:c r="X79" s="3"/>
      <x:c r="Y79" s="3"/>
      <x:c r="Z79" s="3"/>
      <x:c r="AA79" s="3"/>
      <x:c r="AB79" s="3"/>
    </x:row>
    <x:row r="80" ht="21" customHeight="1">
      <x:c r="A80" s="40" t="str">
        <x:v>Текущая распроданность</x:v>
      </x:c>
      <x:c r="B80" s="42" t="n">
        <x:f>IF(B78&gt;0,B79/B78,0)</x:f>
        <x:v>0.3101058729897034</x:v>
      </x:c>
      <x:c r="C80" s="42" t="n">
        <x:f>IF(C78&gt;0,C79/C78,0)</x:f>
        <x:v>0.31257986352874284</x:v>
      </x:c>
      <x:c r="D80" s="42" t="n">
        <x:f>IF(D78&gt;0,D79/D78,0)</x:f>
        <x:v>0.3387466754752009</x:v>
      </x:c>
      <x:c r="E80" s="42" t="n">
        <x:f>IF(E78&gt;0,E79/E78,0)</x:f>
        <x:v>0.38837522953559034</x:v>
      </x:c>
      <x:c r="F80" s="42" t="n">
        <x:f>IF(F78&gt;0,F79/F78,0)</x:f>
        <x:v>0.4118412359084968</x:v>
      </x:c>
      <x:c r="G80" s="3"/>
      <x:c r="H80" s="3"/>
      <x:c r="I80" s="3"/>
      <x:c r="J80" s="3"/>
      <x:c r="K80" s="3"/>
      <x:c r="L80" s="3"/>
      <x:c r="M80" s="3"/>
      <x:c r="N80" s="3"/>
      <x:c r="O80" s="3"/>
      <x:c r="P80" s="3"/>
      <x:c r="Q80" s="3"/>
      <x:c r="R80" s="3"/>
      <x:c r="S80" s="3"/>
      <x:c r="T80" s="3"/>
      <x:c r="U80" s="3"/>
      <x:c r="V80" s="3"/>
      <x:c r="W80" s="3"/>
      <x:c r="X80" s="3"/>
      <x:c r="Y80" s="3"/>
      <x:c r="Z80" s="3"/>
      <x:c r="AA80" s="3"/>
      <x:c r="AB80" s="3"/>
    </x:row>
    <x:row r="81" ht="21" customHeight="1">
      <x:c r="A81" s="40" t="str">
        <x:v>Непроданный остаток на конец</x:v>
      </x:c>
      <x:c r="B81" s="43" t="n">
        <x:f>B78-B79</x:f>
        <x:v>2555.8771276704865</x:v>
      </x:c>
      <x:c r="C81" s="43" t="n">
        <x:f>C78-C79</x:f>
        <x:v>2186.336656849804</x:v>
      </x:c>
      <x:c r="D81" s="43" t="n">
        <x:f>D78-D79</x:f>
        <x:v>2135.303635085748</x:v>
      </x:c>
      <x:c r="E81" s="43" t="n">
        <x:f>E78-E79</x:f>
        <x:v>2085.063212531331</x:v>
      </x:c>
      <x:c r="F81" s="43" t="n">
        <x:f>F78-F79</x:f>
        <x:v>2196.874006465494</x:v>
      </x:c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  <x:c r="AA81" s="3"/>
      <x:c r="AB81" s="3"/>
    </x:row>
    <x:row r="82" ht="21" customHeight="1">
      <x:c r="A82" s="2" t="str">
        <x:v>Проверка баланса</x:v>
      </x:c>
      <x:c r="B82" s="20" t="n">
        <x:f>ROUND(B78-(B65+B64-B75+B77),8)</x:f>
        <x:v>0</x:v>
      </x:c>
      <x:c r="C82" s="20" t="n">
        <x:f>ROUND(C78-(C65+C64-C75+C77),8)</x:f>
        <x:v>0</x:v>
      </x:c>
      <x:c r="D82" s="20" t="n">
        <x:f>ROUND(D78-(D65+D64-D75+D77),8)</x:f>
        <x:v>0</x:v>
      </x:c>
      <x:c r="E82" s="20" t="n">
        <x:f>ROUND(E78-(E65+E64-E75+E77),8)</x:f>
        <x:v>0</x:v>
      </x:c>
      <x:c r="F82" s="20" t="n">
        <x:f>ROUND(F78-(F65+F64-F75+F77),8)</x:f>
        <x:v>0</x:v>
      </x:c>
      <x:c r="G82" s="3"/>
      <x:c r="H82" s="3"/>
      <x:c r="I82" s="3"/>
      <x:c r="J82" s="3"/>
      <x:c r="K82" s="3"/>
      <x:c r="L82" s="3"/>
      <x:c r="M82" s="3"/>
      <x:c r="N82" s="3"/>
      <x:c r="O82" s="3"/>
      <x:c r="P82" s="3"/>
      <x:c r="Q82" s="3"/>
      <x:c r="R82" s="3"/>
      <x:c r="S82" s="3"/>
      <x:c r="T82" s="3"/>
      <x:c r="U82" s="3"/>
      <x:c r="V82" s="3"/>
      <x:c r="W82" s="3"/>
      <x:c r="X82" s="3"/>
      <x:c r="Y82" s="3"/>
      <x:c r="Z82" s="3"/>
      <x:c r="AA82" s="3"/>
      <x:c r="AB82" s="3"/>
    </x:row>
    <x:row r="83" ht="21" customHeight="1">
      <x:c r="A83" s="2" t="str">
        <x:v>Накопленная корр. портфеля</x:v>
      </x:c>
      <x:c r="B83" s="20" t="n">
        <x:f>B77</x:f>
        <x:v>0</x:v>
      </x:c>
      <x:c r="C83" s="20" t="n">
        <x:f>B83+C77</x:f>
        <x:v>-4.161482304308976</x:v>
      </x:c>
      <x:c r="D83" s="20" t="n">
        <x:f>C83+D77</x:f>
        <x:v>-7.734089883579662</x:v>
      </x:c>
      <x:c r="E83" s="20" t="n">
        <x:f>D83+E77</x:f>
        <x:v>-11.361380057818817</x:v>
      </x:c>
      <x:c r="F83" s="20" t="n">
        <x:f>E83+F77</x:f>
        <x:v>-15.19072676324167</x:v>
      </x:c>
      <x:c r="G83" s="3"/>
      <x:c r="H83" s="3"/>
      <x:c r="I83" s="3"/>
      <x:c r="J83" s="3"/>
      <x:c r="K83" s="3"/>
      <x:c r="L83" s="3"/>
      <x:c r="M83" s="3"/>
      <x:c r="N83" s="3"/>
      <x:c r="O83" s="3"/>
      <x:c r="P83" s="3"/>
      <x:c r="Q83" s="3"/>
      <x:c r="R83" s="3"/>
      <x:c r="S83" s="3"/>
      <x:c r="T83" s="3"/>
      <x:c r="U83" s="3"/>
      <x:c r="V83" s="3"/>
      <x:c r="W83" s="3"/>
      <x:c r="X83" s="3"/>
      <x:c r="Y83" s="3"/>
      <x:c r="Z83" s="3"/>
      <x:c r="AA83" s="3"/>
      <x:c r="AB83" s="3"/>
    </x:row>
    <x:row r="84" ht="21" customHeight="1">
      <x:c r="A84" s="2" t="str">
        <x:v>Накопленная корр. продано</x:v>
      </x:c>
      <x:c r="B84" s="20" t="n">
        <x:f>0+B85</x:f>
        <x:v>0</x:v>
      </x:c>
      <x:c r="C84" s="20" t="n">
        <x:f>B84+C85</x:f>
        <x:v>-1.3007955707581778</x:v>
      </x:c>
      <x:c r="D84" s="20" t="n">
        <x:f>C84+D85</x:f>
        <x:v>-2.5110045110136276</x:v>
      </x:c>
      <x:c r="E84" s="20" t="n">
        <x:f>D84+E85</x:f>
        <x:v>-3.9197541650259504</x:v>
      </x:c>
      <x:c r="F84" s="20" t="n">
        <x:f>E84+F85</x:f>
        <x:v>-5.496837044909428</x:v>
      </x:c>
      <x:c r="G84" s="3"/>
      <x:c r="H84" s="3"/>
      <x:c r="I84" s="3"/>
      <x:c r="J84" s="3"/>
      <x:c r="K84" s="3"/>
      <x:c r="L84" s="3"/>
      <x:c r="M84" s="3"/>
      <x:c r="N84" s="3"/>
      <x:c r="O84" s="3"/>
      <x:c r="P84" s="3"/>
      <x:c r="Q84" s="3"/>
      <x:c r="R84" s="3"/>
      <x:c r="S84" s="3"/>
      <x:c r="T84" s="3"/>
      <x:c r="U84" s="3"/>
      <x:c r="V84" s="3"/>
      <x:c r="W84" s="3"/>
      <x:c r="X84" s="3"/>
      <x:c r="Y84" s="3"/>
      <x:c r="Z84" s="3"/>
      <x:c r="AA84" s="3"/>
      <x:c r="AB84" s="3"/>
    </x:row>
    <x:row r="85" ht="21" customHeight="1">
      <x:c r="A85" s="2" t="str">
        <x:v>Корректировка продано за год</x:v>
      </x:c>
      <x:c r="B85" s="24" t="n">
        <x:f>IF(SUM('Когорты'!Z106:Z115)+0&gt;0,B77*(SUM('Когорты'!AA106:AA115)+0)/(SUM('Когорты'!Z106:Z115)+0),0)</x:f>
        <x:v>0</x:v>
      </x:c>
      <x:c r="C85" s="24" t="n">
        <x:f>IF(SUM('Когорты'!Z116:Z125)+B83&gt;0,C77*(SUM('Когорты'!AA116:AA125)+B84)/(SUM('Когорты'!Z116:Z125)+B83),0)</x:f>
        <x:v>-1.3007955707581778</x:v>
      </x:c>
      <x:c r="D85" s="24" t="n">
        <x:f>IF(SUM('Когорты'!Z126:Z135)+C83&gt;0,D77*(SUM('Когорты'!AA126:AA135)+C84)/(SUM('Когорты'!Z126:Z135)+C83),0)</x:f>
        <x:v>-1.2102089402554501</x:v>
      </x:c>
      <x:c r="E85" s="24" t="n">
        <x:f>IF(SUM('Когорты'!Z136:Z145)+D83&gt;0,E77*(SUM('Когорты'!AA136:AA145)+D84)/(SUM('Когорты'!Z136:Z145)+D83),0)</x:f>
        <x:v>-1.408749654012323</x:v>
      </x:c>
      <x:c r="F85" s="24" t="n">
        <x:f>IF(SUM('Когорты'!Z146:Z155)+E83&gt;0,F77*(SUM('Когорты'!AA146:AA155)+E84)/(SUM('Когорты'!Z146:Z155)+E83),0)</x:f>
        <x:v>-1.5770828798834784</x:v>
      </x:c>
      <x:c r="G85" s="3"/>
      <x:c r="H85" s="3"/>
      <x:c r="I85" s="3"/>
      <x:c r="J85" s="3"/>
      <x:c r="K85" s="3"/>
      <x:c r="L85" s="3"/>
      <x:c r="M85" s="3"/>
      <x:c r="N85" s="3"/>
      <x:c r="O85" s="3"/>
      <x:c r="P85" s="3"/>
      <x:c r="Q85" s="3"/>
      <x:c r="R85" s="3"/>
      <x:c r="S85" s="3"/>
      <x:c r="T85" s="3"/>
      <x:c r="U85" s="3"/>
      <x:c r="V85" s="3"/>
      <x:c r="W85" s="3"/>
      <x:c r="X85" s="3"/>
      <x:c r="Y85" s="3"/>
      <x:c r="Z85" s="3"/>
      <x:c r="AA85" s="3"/>
      <x:c r="AB85" s="3"/>
    </x:row>
    <x:row r="86" ht="21" customHeight="1">
      <x:c r="A86" s="2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3"/>
      <x:c r="Q86" s="3"/>
      <x:c r="R86" s="3"/>
      <x:c r="S86" s="3"/>
      <x:c r="T86" s="3"/>
      <x:c r="U86" s="3"/>
      <x:c r="V86" s="3"/>
      <x:c r="W86" s="3"/>
      <x:c r="X86" s="3"/>
      <x:c r="Y86" s="3"/>
      <x:c r="Z86" s="3"/>
      <x:c r="AA86" s="3"/>
      <x:c r="AB86" s="3"/>
    </x:row>
    <x:row r="87" ht="21" customHeight="1">
      <x:c r="A87" s="2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3"/>
      <x:c r="Q87" s="3"/>
      <x:c r="R87" s="3"/>
      <x:c r="S87" s="3"/>
      <x:c r="T87" s="3"/>
      <x:c r="U87" s="3"/>
      <x:c r="V87" s="3"/>
      <x:c r="W87" s="3"/>
      <x:c r="X87" s="3"/>
      <x:c r="Y87" s="3"/>
      <x:c r="Z87" s="3"/>
      <x:c r="AA87" s="3"/>
      <x:c r="AB87" s="3"/>
    </x:row>
    <x:row r="88" ht="21" customHeight="1">
      <x:c r="A88" s="2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3"/>
      <x:c r="Q88" s="3"/>
      <x:c r="R88" s="3"/>
      <x:c r="S88" s="3"/>
      <x:c r="T88" s="3"/>
      <x:c r="U88" s="3"/>
      <x:c r="V88" s="3"/>
      <x:c r="W88" s="3"/>
      <x:c r="X88" s="3"/>
      <x:c r="Y88" s="3"/>
      <x:c r="Z88" s="3"/>
      <x:c r="AA88" s="3"/>
      <x:c r="AB88" s="3"/>
    </x:row>
    <x:row r="89" ht="21" customHeight="1">
      <x:c r="A89" s="2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3"/>
      <x:c r="Q89" s="3"/>
      <x:c r="R89" s="3"/>
      <x:c r="S89" s="3"/>
      <x:c r="T89" s="3"/>
      <x:c r="U89" s="3"/>
      <x:c r="V89" s="3"/>
      <x:c r="W89" s="3"/>
      <x:c r="X89" s="3"/>
      <x:c r="Y89" s="3"/>
      <x:c r="Z89" s="3"/>
      <x:c r="AA89" s="3"/>
      <x:c r="AB89" s="3"/>
    </x:row>
    <x:row r="90" ht="21" customHeight="1">
      <x:c r="A90" s="2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3"/>
      <x:c r="Z90" s="3"/>
      <x:c r="AA90" s="3"/>
      <x:c r="AB90" s="3"/>
    </x:row>
    <x:row r="91" ht="21" customHeight="1">
      <x:c r="A91" s="2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3"/>
      <x:c r="Q91" s="3"/>
      <x:c r="R91" s="3"/>
      <x:c r="S91" s="3"/>
      <x:c r="T91" s="3"/>
      <x:c r="U91" s="3"/>
      <x:c r="V91" s="3"/>
      <x:c r="W91" s="3"/>
      <x:c r="X91" s="3"/>
      <x:c r="Y91" s="3"/>
      <x:c r="Z91" s="3"/>
      <x:c r="AA91" s="3"/>
      <x:c r="AB91" s="3"/>
    </x:row>
    <x:row r="92" ht="21" customHeight="1">
      <x:c r="A92" s="2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3"/>
      <x:c r="Q92" s="3"/>
      <x:c r="R92" s="3"/>
      <x:c r="S92" s="3"/>
      <x:c r="T92" s="3"/>
      <x:c r="U92" s="3"/>
      <x:c r="V92" s="3"/>
      <x:c r="W92" s="3"/>
      <x:c r="X92" s="3"/>
      <x:c r="Y92" s="3"/>
      <x:c r="Z92" s="3"/>
      <x:c r="AA92" s="3"/>
      <x:c r="AB92" s="3"/>
    </x:row>
    <x:row r="93" ht="21" customHeight="1">
      <x:c r="A93" s="2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3"/>
      <x:c r="Q93" s="3"/>
      <x:c r="R93" s="3"/>
      <x:c r="S93" s="3"/>
      <x:c r="T93" s="3"/>
      <x:c r="U93" s="3"/>
      <x:c r="V93" s="3"/>
      <x:c r="W93" s="3"/>
      <x:c r="X93" s="3"/>
      <x:c r="Y93" s="3"/>
      <x:c r="Z93" s="3"/>
      <x:c r="AA93" s="3"/>
      <x:c r="AB93" s="3"/>
    </x:row>
    <x:row r="94" ht="21" customHeight="1">
      <x:c r="A94" s="2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  <x:c r="AA94" s="3"/>
      <x:c r="AB94" s="3"/>
    </x:row>
    <x:row r="95" ht="21" customHeight="1">
      <x:c r="A95" s="2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3"/>
      <x:c r="Q95" s="3"/>
      <x:c r="R95" s="3"/>
      <x:c r="S95" s="3"/>
      <x:c r="T95" s="3"/>
      <x:c r="U95" s="3"/>
      <x:c r="V95" s="3"/>
      <x:c r="W95" s="3"/>
      <x:c r="X95" s="3"/>
      <x:c r="Y95" s="3"/>
      <x:c r="Z95" s="3"/>
      <x:c r="AA95" s="3"/>
      <x:c r="AB95" s="3"/>
    </x:row>
    <x:row r="96" ht="21" customHeight="1">
      <x:c r="A96" s="2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3"/>
      <x:c r="Q96" s="3"/>
      <x:c r="R96" s="3"/>
      <x:c r="S96" s="3"/>
      <x:c r="T96" s="3"/>
      <x:c r="U96" s="3"/>
      <x:c r="V96" s="3"/>
      <x:c r="W96" s="3"/>
      <x:c r="X96" s="3"/>
      <x:c r="Y96" s="3"/>
      <x:c r="Z96" s="3"/>
      <x:c r="AA96" s="3"/>
      <x:c r="AB96" s="3"/>
    </x:row>
    <x:row r="97" ht="24" customHeight="1">
      <x:c r="A97" s="36" t="str">
        <x:v>Калибровка интенсивности продаж</x:v>
      </x:c>
      <x:c r="B97" s="37"/>
      <x:c r="C97" s="37"/>
      <x:c r="D97" s="37"/>
      <x:c r="E97" s="37"/>
      <x:c r="F97" s="37"/>
      <x:c r="G97" s="3"/>
      <x:c r="H97" s="3"/>
      <x:c r="I97" s="3"/>
      <x:c r="J97" s="3"/>
      <x:c r="K97" s="3"/>
      <x:c r="L97" s="3"/>
      <x:c r="M97" s="3"/>
      <x:c r="N97" s="3"/>
      <x:c r="O97" s="3"/>
      <x:c r="P97" s="3"/>
      <x:c r="Q97" s="3"/>
      <x:c r="R97" s="3"/>
      <x:c r="S97" s="3"/>
      <x:c r="T97" s="3"/>
      <x:c r="U97" s="3"/>
      <x:c r="V97" s="3"/>
      <x:c r="W97" s="3"/>
      <x:c r="X97" s="3"/>
      <x:c r="Y97" s="3"/>
      <x:c r="Z97" s="3"/>
      <x:c r="AA97" s="3"/>
      <x:c r="AB97" s="3"/>
    </x:row>
    <x:row r="98" ht="21" customHeight="1">
      <x:c r="A98" s="2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3"/>
      <x:c r="Q98" s="3"/>
      <x:c r="R98" s="3"/>
      <x:c r="S98" s="3"/>
      <x:c r="T98" s="3"/>
      <x:c r="U98" s="3"/>
      <x:c r="V98" s="3"/>
      <x:c r="W98" s="3"/>
      <x:c r="X98" s="3"/>
      <x:c r="Y98" s="3"/>
      <x:c r="Z98" s="3"/>
      <x:c r="AA98" s="3"/>
      <x:c r="AB98" s="3"/>
    </x:row>
    <x:row r="99" ht="42" customHeight="1">
      <x:c r="A99" s="46" t="str">
        <x:v>Класс</x:v>
      </x:c>
      <x:c r="B99" s="47" t="str">
        <x:v>Год</x:v>
      </x:c>
      <x:c r="C99" s="47" t="str">
        <x:v>Продажи</x:v>
      </x:c>
      <x:c r="D99" s="47" t="str">
        <x:v>Начальный непроданный остаток</x:v>
      </x:c>
      <x:c r="E99" s="47" t="str">
        <x:v>Продажи / остаток</x:v>
      </x:c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3"/>
      <x:c r="Q99" s="3"/>
      <x:c r="R99" s="3"/>
      <x:c r="S99" s="3"/>
      <x:c r="T99" s="3"/>
      <x:c r="U99" s="3"/>
      <x:c r="V99" s="3"/>
      <x:c r="W99" s="3"/>
      <x:c r="X99" s="3"/>
      <x:c r="Y99" s="3"/>
      <x:c r="Z99" s="3"/>
      <x:c r="AA99" s="3"/>
      <x:c r="AB99" s="3"/>
    </x:row>
    <x:row r="100" ht="21" customHeight="1">
      <x:c r="A100" s="44" t="str">
        <x:f>'Данные'!A45</x:f>
        <x:v>Эконом/комфорт</x:v>
      </x:c>
      <x:c r="B100" s="45" t="n">
        <x:f>'Данные'!B45</x:f>
        <x:v>2021</x:v>
      </x:c>
      <x:c r="C100" s="24" t="n">
        <x:f>'Данные'!C45</x:f>
        <x:v>2644.2174299999997</x:v>
      </x:c>
      <x:c r="D100" s="24" t="n">
        <x:f>'Данные'!D45*(1-'Данные'!E45)</x:f>
        <x:v>4741.73</x:v>
      </x:c>
      <x:c r="E100" s="39" t="n">
        <x:f>C100/D100</x:f>
        <x:v>0.5576482486349918</x:v>
      </x:c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3"/>
      <x:c r="Q100" s="3"/>
      <x:c r="R100" s="3"/>
      <x:c r="S100" s="3"/>
      <x:c r="T100" s="3"/>
      <x:c r="U100" s="3"/>
      <x:c r="V100" s="3"/>
      <x:c r="W100" s="3"/>
      <x:c r="X100" s="3"/>
      <x:c r="Y100" s="3"/>
      <x:c r="Z100" s="3"/>
      <x:c r="AA100" s="3"/>
      <x:c r="AB100" s="3"/>
    </x:row>
    <x:row r="101" ht="21" customHeight="1">
      <x:c r="A101" s="44" t="str">
        <x:f>'Данные'!A46</x:f>
        <x:v>Эконом/комфорт</x:v>
      </x:c>
      <x:c r="B101" s="45" t="n">
        <x:f>'Данные'!B46</x:f>
        <x:v>2022</x:v>
      </x:c>
      <x:c r="C101" s="24" t="n">
        <x:f>'Данные'!C46</x:f>
        <x:v>2502.97156</x:v>
      </x:c>
      <x:c r="D101" s="24" t="n">
        <x:f>'Данные'!D46*(1-'Данные'!E46)</x:f>
        <x:v>4202.4</x:v>
      </x:c>
      <x:c r="E101" s="39" t="n">
        <x:f>C101/D101</x:f>
        <x:v>0.5956052636588617</x:v>
      </x:c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3"/>
      <x:c r="Q101" s="3"/>
      <x:c r="R101" s="3"/>
      <x:c r="S101" s="3"/>
      <x:c r="T101" s="3"/>
      <x:c r="U101" s="3"/>
      <x:c r="V101" s="3"/>
      <x:c r="W101" s="3"/>
      <x:c r="X101" s="3"/>
      <x:c r="Y101" s="3"/>
      <x:c r="Z101" s="3"/>
      <x:c r="AA101" s="3"/>
      <x:c r="AB101" s="3"/>
    </x:row>
    <x:row r="102" ht="21" customHeight="1">
      <x:c r="A102" s="44" t="str">
        <x:f>'Данные'!A47</x:f>
        <x:v>Эконом/комфорт</x:v>
      </x:c>
      <x:c r="B102" s="45" t="n">
        <x:f>'Данные'!B47</x:f>
        <x:v>2023</x:v>
      </x:c>
      <x:c r="C102" s="24" t="n">
        <x:f>'Данные'!C47</x:f>
        <x:v>2930.13251</x:v>
      </x:c>
      <x:c r="D102" s="24" t="n">
        <x:f>'Данные'!D47*(1-'Данные'!E47)</x:f>
        <x:v>5022.84</x:v>
      </x:c>
      <x:c r="E102" s="39" t="n">
        <x:f>C102/D102</x:f>
        <x:v>0.5833617057282334</x:v>
      </x:c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3"/>
      <x:c r="Q102" s="3"/>
      <x:c r="R102" s="3"/>
      <x:c r="S102" s="3"/>
      <x:c r="T102" s="3"/>
      <x:c r="U102" s="3"/>
      <x:c r="V102" s="3"/>
      <x:c r="W102" s="3"/>
      <x:c r="X102" s="3"/>
      <x:c r="Y102" s="3"/>
      <x:c r="Z102" s="3"/>
      <x:c r="AA102" s="3"/>
      <x:c r="AB102" s="3"/>
    </x:row>
    <x:row r="103" ht="21" customHeight="1">
      <x:c r="A103" s="44" t="str">
        <x:f>'Данные'!A48</x:f>
        <x:v>Эконом/комфорт</x:v>
      </x:c>
      <x:c r="B103" s="45" t="n">
        <x:f>'Данные'!B48</x:f>
        <x:v>2024</x:v>
      </x:c>
      <x:c r="C103" s="24" t="n">
        <x:f>'Данные'!C48</x:f>
        <x:v>2193.2283399999997</x:v>
      </x:c>
      <x:c r="D103" s="24" t="n">
        <x:f>'Данные'!D48*(1-'Данные'!E48)</x:f>
        <x:v>4521.43</x:v>
      </x:c>
      <x:c r="E103" s="39" t="n">
        <x:f>C103/D103</x:f>
        <x:v>0.48507404515827945</x:v>
      </x:c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  <x:c r="T103" s="3"/>
      <x:c r="U103" s="3"/>
      <x:c r="V103" s="3"/>
      <x:c r="W103" s="3"/>
      <x:c r="X103" s="3"/>
      <x:c r="Y103" s="3"/>
      <x:c r="Z103" s="3"/>
      <x:c r="AA103" s="3"/>
      <x:c r="AB103" s="3"/>
    </x:row>
    <x:row r="104" ht="21" customHeight="1">
      <x:c r="A104" s="44" t="str">
        <x:f>'Данные'!A49</x:f>
        <x:v>Эконом/комфорт</x:v>
      </x:c>
      <x:c r="B104" s="45" t="n">
        <x:f>'Данные'!B49</x:f>
        <x:v>2025</x:v>
      </x:c>
      <x:c r="C104" s="24" t="n">
        <x:f>'Данные'!C49</x:f>
        <x:v>2069.95931</x:v>
      </x:c>
      <x:c r="D104" s="24" t="n">
        <x:f>'Данные'!D49*(1-'Данные'!E49)</x:f>
        <x:v>4076.4300000000003</x:v>
      </x:c>
      <x:c r="E104" s="39" t="n">
        <x:f>C104/D104</x:f>
        <x:v>0.5077872820090128</x:v>
      </x:c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3"/>
      <x:c r="Q104" s="3"/>
      <x:c r="R104" s="3"/>
      <x:c r="S104" s="3"/>
      <x:c r="T104" s="3"/>
      <x:c r="U104" s="3"/>
      <x:c r="V104" s="3"/>
      <x:c r="W104" s="3"/>
      <x:c r="X104" s="3"/>
      <x:c r="Y104" s="3"/>
      <x:c r="Z104" s="3"/>
      <x:c r="AA104" s="3"/>
      <x:c r="AB104" s="3"/>
    </x:row>
    <x:row r="105" ht="21" customHeight="1">
      <x:c r="A105" s="44" t="str">
        <x:f>'Данные'!A50</x:f>
        <x:v>Бизнес</x:v>
      </x:c>
      <x:c r="B105" s="45" t="n">
        <x:f>'Данные'!B50</x:f>
        <x:v>2021</x:v>
      </x:c>
      <x:c r="C105" s="24" t="n">
        <x:f>'Данные'!C50</x:f>
        <x:v>1522.2874399999998</x:v>
      </x:c>
      <x:c r="D105" s="24" t="n">
        <x:f>'Данные'!D50*(1-'Данные'!E50)</x:f>
        <x:v>2740.92</x:v>
      </x:c>
      <x:c r="E105" s="39" t="n">
        <x:f>C105/D105</x:f>
        <x:v>0.5553928753849072</x:v>
      </x:c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3"/>
      <x:c r="Q105" s="3"/>
      <x:c r="R105" s="3"/>
      <x:c r="S105" s="3"/>
      <x:c r="T105" s="3"/>
      <x:c r="U105" s="3"/>
      <x:c r="V105" s="3"/>
      <x:c r="W105" s="3"/>
      <x:c r="X105" s="3"/>
      <x:c r="Y105" s="3"/>
      <x:c r="Z105" s="3"/>
      <x:c r="AA105" s="3"/>
      <x:c r="AB105" s="3"/>
    </x:row>
    <x:row r="106" ht="21" customHeight="1">
      <x:c r="A106" s="44" t="str">
        <x:f>'Данные'!A51</x:f>
        <x:v>Бизнес</x:v>
      </x:c>
      <x:c r="B106" s="45" t="n">
        <x:f>'Данные'!B51</x:f>
        <x:v>2022</x:v>
      </x:c>
      <x:c r="C106" s="24" t="n">
        <x:f>'Данные'!C51</x:f>
        <x:v>839.1984699999999</x:v>
      </x:c>
      <x:c r="D106" s="24" t="n">
        <x:f>'Данные'!D51*(1-'Данные'!E51)</x:f>
        <x:v>3237.9900000000002</x:v>
      </x:c>
      <x:c r="E106" s="39" t="n">
        <x:f>C106/D106</x:f>
        <x:v>0.2591726564936889</x:v>
      </x:c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3"/>
      <x:c r="Q106" s="3"/>
      <x:c r="R106" s="3"/>
      <x:c r="S106" s="3"/>
      <x:c r="T106" s="3"/>
      <x:c r="U106" s="3"/>
      <x:c r="V106" s="3"/>
      <x:c r="W106" s="3"/>
      <x:c r="X106" s="3"/>
      <x:c r="Y106" s="3"/>
      <x:c r="Z106" s="3"/>
      <x:c r="AA106" s="3"/>
      <x:c r="AB106" s="3"/>
    </x:row>
    <x:row r="107" ht="21" customHeight="1">
      <x:c r="A107" s="44" t="str">
        <x:f>'Данные'!A52</x:f>
        <x:v>Бизнес</x:v>
      </x:c>
      <x:c r="B107" s="45" t="n">
        <x:f>'Данные'!B52</x:f>
        <x:v>2023</x:v>
      </x:c>
      <x:c r="C107" s="24" t="n">
        <x:f>'Данные'!C52</x:f>
        <x:v>1388.87319</x:v>
      </x:c>
      <x:c r="D107" s="24" t="n">
        <x:f>'Данные'!D52*(1-'Данные'!E52)</x:f>
        <x:v>3370.4100000000003</x:v>
      </x:c>
      <x:c r="E107" s="39" t="n">
        <x:f>C107/D107</x:f>
        <x:v>0.41207840885826946</x:v>
      </x:c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  <x:c r="T107" s="3"/>
      <x:c r="U107" s="3"/>
      <x:c r="V107" s="3"/>
      <x:c r="W107" s="3"/>
      <x:c r="X107" s="3"/>
      <x:c r="Y107" s="3"/>
      <x:c r="Z107" s="3"/>
      <x:c r="AA107" s="3"/>
      <x:c r="AB107" s="3"/>
    </x:row>
    <x:row r="108" ht="21" customHeight="1">
      <x:c r="A108" s="44" t="str">
        <x:f>'Данные'!A53</x:f>
        <x:v>Бизнес</x:v>
      </x:c>
      <x:c r="B108" s="45" t="n">
        <x:f>'Данные'!B53</x:f>
        <x:v>2024</x:v>
      </x:c>
      <x:c r="C108" s="24" t="n">
        <x:f>'Данные'!C53</x:f>
        <x:v>1519.1598000000001</x:v>
      </x:c>
      <x:c r="D108" s="24" t="n">
        <x:f>'Данные'!D53*(1-'Данные'!E53)</x:f>
        <x:v>3348.3400000000006</x:v>
      </x:c>
      <x:c r="E108" s="39" t="n">
        <x:f>C108/D108</x:f>
        <x:v>0.45370535847614035</x:v>
      </x:c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3"/>
      <x:c r="Q108" s="3"/>
      <x:c r="R108" s="3"/>
      <x:c r="S108" s="3"/>
      <x:c r="T108" s="3"/>
      <x:c r="U108" s="3"/>
      <x:c r="V108" s="3"/>
      <x:c r="W108" s="3"/>
      <x:c r="X108" s="3"/>
      <x:c r="Y108" s="3"/>
      <x:c r="Z108" s="3"/>
      <x:c r="AA108" s="3"/>
      <x:c r="AB108" s="3"/>
    </x:row>
    <x:row r="109" ht="21" customHeight="1">
      <x:c r="A109" s="44" t="str">
        <x:f>'Данные'!A54</x:f>
        <x:v>Бизнес</x:v>
      </x:c>
      <x:c r="B109" s="45" t="n">
        <x:f>'Данные'!B54</x:f>
        <x:v>2025</x:v>
      </x:c>
      <x:c r="C109" s="24" t="n">
        <x:f>'Данные'!C54</x:f>
        <x:v>1533.34705</x:v>
      </x:c>
      <x:c r="D109" s="24" t="n">
        <x:f>'Данные'!D54*(1-'Данные'!E54)</x:f>
        <x:v>3683.3400000000006</x:v>
      </x:c>
      <x:c r="E109" s="39" t="n">
        <x:f>C109/D109</x:f>
        <x:v>0.41629256327137865</x:v>
      </x:c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3"/>
      <x:c r="Q109" s="3"/>
      <x:c r="R109" s="3"/>
      <x:c r="S109" s="3"/>
      <x:c r="T109" s="3"/>
      <x:c r="U109" s="3"/>
      <x:c r="V109" s="3"/>
      <x:c r="W109" s="3"/>
      <x:c r="X109" s="3"/>
      <x:c r="Y109" s="3"/>
      <x:c r="Z109" s="3"/>
      <x:c r="AA109" s="3"/>
      <x:c r="AB109" s="3"/>
    </x:row>
    <x:row r="110" ht="21" customHeight="1">
      <x:c r="A110" s="44" t="str">
        <x:f>'Данные'!A55</x:f>
        <x:v>Элитный</x:v>
      </x:c>
      <x:c r="B110" s="45" t="n">
        <x:f>'Данные'!B55</x:f>
        <x:v>2021</x:v>
      </x:c>
      <x:c r="C110" s="24" t="n">
        <x:f>'Данные'!C55</x:f>
        <x:v>270.85506</x:v>
      </x:c>
      <x:c r="D110" s="24" t="n">
        <x:f>'Данные'!D55*(1-'Данные'!E55)</x:f>
        <x:v>572.9300000000001</x:v>
      </x:c>
      <x:c r="E110" s="39" t="n">
        <x:f>C110/D110</x:f>
        <x:v>0.4727541933569545</x:v>
      </x:c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3"/>
      <x:c r="Q110" s="3"/>
      <x:c r="R110" s="3"/>
      <x:c r="S110" s="3"/>
      <x:c r="T110" s="3"/>
      <x:c r="U110" s="3"/>
      <x:c r="V110" s="3"/>
      <x:c r="W110" s="3"/>
      <x:c r="X110" s="3"/>
      <x:c r="Y110" s="3"/>
      <x:c r="Z110" s="3"/>
      <x:c r="AA110" s="3"/>
      <x:c r="AB110" s="3"/>
    </x:row>
    <x:row r="111" ht="21" customHeight="1">
      <x:c r="A111" s="44" t="str">
        <x:f>'Данные'!A56</x:f>
        <x:v>Элитный</x:v>
      </x:c>
      <x:c r="B111" s="45" t="n">
        <x:f>'Данные'!B56</x:f>
        <x:v>2022</x:v>
      </x:c>
      <x:c r="C111" s="24" t="n">
        <x:f>'Данные'!C56</x:f>
        <x:v>128.67102</x:v>
      </x:c>
      <x:c r="D111" s="24" t="n">
        <x:f>'Данные'!D56*(1-'Данные'!E56)</x:f>
        <x:v>609.4586159999996</x:v>
      </x:c>
      <x:c r="E111" s="39" t="n">
        <x:f>C111/D111</x:f>
        <x:v>0.21112347355837544</x:v>
      </x:c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3"/>
      <x:c r="Q111" s="3"/>
      <x:c r="R111" s="3"/>
      <x:c r="S111" s="3"/>
      <x:c r="T111" s="3"/>
      <x:c r="U111" s="3"/>
      <x:c r="V111" s="3"/>
      <x:c r="W111" s="3"/>
      <x:c r="X111" s="3"/>
      <x:c r="Y111" s="3"/>
      <x:c r="Z111" s="3"/>
      <x:c r="AA111" s="3"/>
      <x:c r="AB111" s="3"/>
    </x:row>
    <x:row r="112" ht="21" customHeight="1">
      <x:c r="A112" s="44" t="str">
        <x:f>'Данные'!A57</x:f>
        <x:v>Элитный</x:v>
      </x:c>
      <x:c r="B112" s="45" t="n">
        <x:f>'Данные'!B57</x:f>
        <x:v>2023</x:v>
      </x:c>
      <x:c r="C112" s="24" t="n">
        <x:f>'Данные'!C57</x:f>
        <x:v>347.31615000000005</x:v>
      </x:c>
      <x:c r="D112" s="24" t="n">
        <x:f>'Данные'!D57*(1-'Данные'!E57)</x:f>
        <x:v>1365.0662521</x:v>
      </x:c>
      <x:c r="E112" s="39" t="n">
        <x:f>C112/D112</x:f>
        <x:v>0.25443171675051923</x:v>
      </x:c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3"/>
      <x:c r="Q112" s="3"/>
      <x:c r="R112" s="3"/>
      <x:c r="S112" s="3"/>
      <x:c r="T112" s="3"/>
      <x:c r="U112" s="3"/>
      <x:c r="V112" s="3"/>
      <x:c r="W112" s="3"/>
      <x:c r="X112" s="3"/>
      <x:c r="Y112" s="3"/>
      <x:c r="Z112" s="3"/>
      <x:c r="AA112" s="3"/>
      <x:c r="AB112" s="3"/>
    </x:row>
    <x:row r="113" ht="21" customHeight="1">
      <x:c r="A113" s="44" t="str">
        <x:f>'Данные'!A58</x:f>
        <x:v>Элитный</x:v>
      </x:c>
      <x:c r="B113" s="45" t="n">
        <x:f>'Данные'!B58</x:f>
        <x:v>2024</x:v>
      </x:c>
      <x:c r="C113" s="24" t="n">
        <x:f>'Данные'!C58</x:f>
        <x:v>536.38606</x:v>
      </x:c>
      <x:c r="D113" s="24" t="n">
        <x:f>'Данные'!D58*(1-'Данные'!E58)</x:f>
        <x:v>1795.1823679999995</x:v>
      </x:c>
      <x:c r="E113" s="39" t="n">
        <x:f>C113/D113</x:f>
        <x:v>0.29879196095134564</x:v>
      </x:c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3"/>
      <x:c r="Q113" s="3"/>
      <x:c r="R113" s="3"/>
      <x:c r="S113" s="3"/>
      <x:c r="T113" s="3"/>
      <x:c r="U113" s="3"/>
      <x:c r="V113" s="3"/>
      <x:c r="W113" s="3"/>
      <x:c r="X113" s="3"/>
      <x:c r="Y113" s="3"/>
      <x:c r="Z113" s="3"/>
      <x:c r="AA113" s="3"/>
      <x:c r="AB113" s="3"/>
    </x:row>
    <x:row r="114" ht="21" customHeight="1">
      <x:c r="A114" s="44" t="str">
        <x:f>'Данные'!A59</x:f>
        <x:v>Элитный</x:v>
      </x:c>
      <x:c r="B114" s="45" t="n">
        <x:f>'Данные'!B59</x:f>
        <x:v>2025</x:v>
      </x:c>
      <x:c r="C114" s="24" t="n">
        <x:f>'Данные'!C59</x:f>
        <x:v>581.349</x:v>
      </x:c>
      <x:c r="D114" s="24" t="n">
        <x:f>'Данные'!D59*(1-'Данные'!E59)</x:f>
        <x:v>2259.8474349000007</x:v>
      </x:c>
      <x:c r="E114" s="39" t="n">
        <x:f>C114/D114</x:f>
        <x:v>0.2572514369872606</x:v>
      </x:c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3"/>
      <x:c r="Q114" s="3"/>
      <x:c r="R114" s="3"/>
      <x:c r="S114" s="3"/>
      <x:c r="T114" s="3"/>
      <x:c r="U114" s="3"/>
      <x:c r="V114" s="3"/>
      <x:c r="W114" s="3"/>
      <x:c r="X114" s="3"/>
      <x:c r="Y114" s="3"/>
      <x:c r="Z114" s="3"/>
      <x:c r="AA114" s="3"/>
      <x:c r="AB114" s="3"/>
    </x:row>
    <x:row r="115" ht="21" customHeight="1">
      <x:c r="A115" s="2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3"/>
      <x:c r="Q115" s="3"/>
      <x:c r="R115" s="3"/>
      <x:c r="S115" s="3"/>
      <x:c r="T115" s="3"/>
      <x:c r="U115" s="3"/>
      <x:c r="V115" s="3"/>
      <x:c r="W115" s="3"/>
      <x:c r="X115" s="3"/>
      <x:c r="Y115" s="3"/>
      <x:c r="Z115" s="3"/>
      <x:c r="AA115" s="3"/>
      <x:c r="AB115" s="3"/>
    </x:row>
    <x:row r="116" ht="21" customHeight="1">
      <x:c r="A116" s="2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  <x:c r="S116" s="3"/>
      <x:c r="T116" s="3"/>
      <x:c r="U116" s="3"/>
      <x:c r="V116" s="3"/>
      <x:c r="W116" s="3"/>
      <x:c r="X116" s="3"/>
      <x:c r="Y116" s="3"/>
      <x:c r="Z116" s="3"/>
      <x:c r="AA116" s="3"/>
      <x:c r="AB116" s="3"/>
    </x:row>
    <x:row r="117" ht="21" customHeight="1">
      <x:c r="A117" s="2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3"/>
      <x:c r="Q117" s="3"/>
      <x:c r="R117" s="3"/>
      <x:c r="S117" s="3"/>
      <x:c r="T117" s="3"/>
      <x:c r="U117" s="3"/>
      <x:c r="V117" s="3"/>
      <x:c r="W117" s="3"/>
      <x:c r="X117" s="3"/>
      <x:c r="Y117" s="3"/>
      <x:c r="Z117" s="3"/>
      <x:c r="AA117" s="3"/>
      <x:c r="AB117" s="3"/>
    </x:row>
    <x:row r="118" ht="21" customHeight="1">
      <x:c r="A118" s="2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3"/>
      <x:c r="Q118" s="3"/>
      <x:c r="R118" s="3"/>
      <x:c r="S118" s="3"/>
      <x:c r="T118" s="3"/>
      <x:c r="U118" s="3"/>
      <x:c r="V118" s="3"/>
      <x:c r="W118" s="3"/>
      <x:c r="X118" s="3"/>
      <x:c r="Y118" s="3"/>
      <x:c r="Z118" s="3"/>
      <x:c r="AA118" s="3"/>
      <x:c r="AB118" s="3"/>
    </x:row>
    <x:row r="119" ht="21" customHeight="1">
      <x:c r="A119" s="2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3"/>
      <x:c r="Q119" s="3"/>
      <x:c r="R119" s="3"/>
      <x:c r="S119" s="3"/>
      <x:c r="T119" s="3"/>
      <x:c r="U119" s="3"/>
      <x:c r="V119" s="3"/>
      <x:c r="W119" s="3"/>
      <x:c r="X119" s="3"/>
      <x:c r="Y119" s="3"/>
      <x:c r="Z119" s="3"/>
      <x:c r="AA119" s="3"/>
      <x:c r="AB119" s="3"/>
    </x:row>
    <x:row r="120" ht="21" customHeight="1">
      <x:c r="A120" s="2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  <x:c r="S120" s="3"/>
      <x:c r="T120" s="3"/>
      <x:c r="U120" s="3"/>
      <x:c r="V120" s="3"/>
      <x:c r="W120" s="3"/>
      <x:c r="X120" s="3"/>
      <x:c r="Y120" s="3"/>
      <x:c r="Z120" s="3"/>
      <x:c r="AA120" s="3"/>
      <x:c r="AB120" s="3"/>
    </x:row>
    <x:row r="121" ht="21" customHeight="1">
      <x:c r="A121" s="2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3"/>
      <x:c r="Q121" s="3"/>
      <x:c r="R121" s="3"/>
      <x:c r="S121" s="3"/>
      <x:c r="T121" s="3"/>
      <x:c r="U121" s="3"/>
      <x:c r="V121" s="3"/>
      <x:c r="W121" s="3"/>
      <x:c r="X121" s="3"/>
      <x:c r="Y121" s="3"/>
      <x:c r="Z121" s="3"/>
      <x:c r="AA121" s="3"/>
      <x:c r="AB121" s="3"/>
    </x:row>
    <x:row r="122" ht="21" customHeight="1">
      <x:c r="A122" s="2"/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3"/>
      <x:c r="Q122" s="3"/>
      <x:c r="R122" s="3"/>
      <x:c r="S122" s="3"/>
      <x:c r="T122" s="3"/>
      <x:c r="U122" s="3"/>
      <x:c r="V122" s="3"/>
      <x:c r="W122" s="3"/>
      <x:c r="X122" s="3"/>
      <x:c r="Y122" s="3"/>
      <x:c r="Z122" s="3"/>
      <x:c r="AA122" s="3"/>
      <x:c r="AB122" s="3"/>
    </x:row>
    <x:row r="123" ht="21" customHeight="1">
      <x:c r="A123" s="2"/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3"/>
      <x:c r="Q123" s="3"/>
      <x:c r="R123" s="3"/>
      <x:c r="S123" s="3"/>
      <x:c r="T123" s="3"/>
      <x:c r="U123" s="3"/>
      <x:c r="V123" s="3"/>
      <x:c r="W123" s="3"/>
      <x:c r="X123" s="3"/>
      <x:c r="Y123" s="3"/>
      <x:c r="Z123" s="3"/>
      <x:c r="AA123" s="3"/>
      <x:c r="AB123" s="3"/>
    </x:row>
    <x:row r="124" ht="21" customHeight="1">
      <x:c r="A124" s="2"/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3"/>
      <x:c r="Q124" s="3"/>
      <x:c r="R124" s="3"/>
      <x:c r="S124" s="3"/>
      <x:c r="T124" s="3"/>
      <x:c r="U124" s="3"/>
      <x:c r="V124" s="3"/>
      <x:c r="W124" s="3"/>
      <x:c r="X124" s="3"/>
      <x:c r="Y124" s="3"/>
      <x:c r="Z124" s="3"/>
      <x:c r="AA124" s="3"/>
      <x:c r="AB124" s="3"/>
    </x:row>
    <x:row r="125" ht="21" customHeight="1">
      <x:c r="A125" s="2"/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3"/>
      <x:c r="Q125" s="3"/>
      <x:c r="R125" s="3"/>
      <x:c r="S125" s="3"/>
      <x:c r="T125" s="3"/>
      <x:c r="U125" s="3"/>
      <x:c r="V125" s="3"/>
      <x:c r="W125" s="3"/>
      <x:c r="X125" s="3"/>
      <x:c r="Y125" s="3"/>
      <x:c r="Z125" s="3"/>
      <x:c r="AA125" s="3"/>
      <x:c r="AB125" s="3"/>
    </x:row>
    <x:row r="126" ht="21" customHeight="1">
      <x:c r="A126" s="2"/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3"/>
      <x:c r="Q126" s="3"/>
      <x:c r="R126" s="3"/>
      <x:c r="S126" s="3"/>
      <x:c r="T126" s="3"/>
      <x:c r="U126" s="3"/>
      <x:c r="V126" s="3"/>
      <x:c r="W126" s="3"/>
      <x:c r="X126" s="3"/>
      <x:c r="Y126" s="3"/>
      <x:c r="Z126" s="3"/>
      <x:c r="AA126" s="3"/>
      <x:c r="AB126" s="3"/>
    </x:row>
    <x:row r="127" ht="21" customHeight="1">
      <x:c r="A127" s="2"/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3"/>
      <x:c r="Q127" s="3"/>
      <x:c r="R127" s="3"/>
      <x:c r="S127" s="3"/>
      <x:c r="T127" s="3"/>
      <x:c r="U127" s="3"/>
      <x:c r="V127" s="3"/>
      <x:c r="W127" s="3"/>
      <x:c r="X127" s="3"/>
      <x:c r="Y127" s="3"/>
      <x:c r="Z127" s="3"/>
      <x:c r="AA127" s="3"/>
      <x:c r="AB127" s="3"/>
    </x:row>
    <x:row r="128" ht="21" customHeight="1">
      <x:c r="A128" s="2"/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3"/>
      <x:c r="Q128" s="3"/>
      <x:c r="R128" s="3"/>
      <x:c r="S128" s="3"/>
      <x:c r="T128" s="3"/>
      <x:c r="U128" s="3"/>
      <x:c r="V128" s="3"/>
      <x:c r="W128" s="3"/>
      <x:c r="X128" s="3"/>
      <x:c r="Y128" s="3"/>
      <x:c r="Z128" s="3"/>
      <x:c r="AA128" s="3"/>
      <x:c r="AB128" s="3"/>
    </x:row>
    <x:row r="129" ht="21" customHeight="1">
      <x:c r="A129" s="2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3"/>
      <x:c r="Q129" s="3"/>
      <x:c r="R129" s="3"/>
      <x:c r="S129" s="3"/>
      <x:c r="T129" s="3"/>
      <x:c r="U129" s="3"/>
      <x:c r="V129" s="3"/>
      <x:c r="W129" s="3"/>
      <x:c r="X129" s="3"/>
      <x:c r="Y129" s="3"/>
      <x:c r="Z129" s="3"/>
      <x:c r="AA129" s="3"/>
      <x:c r="AB129" s="3"/>
    </x:row>
    <x:row r="130" ht="21" customHeight="1">
      <x:c r="A130" s="2"/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3"/>
      <x:c r="Q130" s="3"/>
      <x:c r="R130" s="3"/>
      <x:c r="S130" s="3"/>
      <x:c r="T130" s="3"/>
      <x:c r="U130" s="3"/>
      <x:c r="V130" s="3"/>
      <x:c r="W130" s="3"/>
      <x:c r="X130" s="3"/>
      <x:c r="Y130" s="3"/>
      <x:c r="Z130" s="3"/>
      <x:c r="AA130" s="3"/>
      <x:c r="AB130" s="3"/>
    </x:row>
    <x:row r="131" ht="21" customHeight="1">
      <x:c r="A131" s="2"/>
      <x:c r="B131" s="3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3"/>
      <x:c r="Q131" s="3"/>
      <x:c r="R131" s="3"/>
      <x:c r="S131" s="3"/>
      <x:c r="T131" s="3"/>
      <x:c r="U131" s="3"/>
      <x:c r="V131" s="3"/>
      <x:c r="W131" s="3"/>
      <x:c r="X131" s="3"/>
      <x:c r="Y131" s="3"/>
      <x:c r="Z131" s="3"/>
      <x:c r="AA131" s="3"/>
      <x:c r="AB131" s="3"/>
    </x:row>
    <x:row r="132" ht="21" customHeight="1">
      <x:c r="A132" s="2"/>
      <x:c r="B132" s="3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3"/>
      <x:c r="Q132" s="3"/>
      <x:c r="R132" s="3"/>
      <x:c r="S132" s="3"/>
      <x:c r="T132" s="3"/>
      <x:c r="U132" s="3"/>
      <x:c r="V132" s="3"/>
      <x:c r="W132" s="3"/>
      <x:c r="X132" s="3"/>
      <x:c r="Y132" s="3"/>
      <x:c r="Z132" s="3"/>
      <x:c r="AA132" s="3"/>
      <x:c r="AB132" s="3"/>
    </x:row>
    <x:row r="133" ht="21" customHeight="1">
      <x:c r="A133" s="2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3"/>
      <x:c r="Q133" s="3"/>
      <x:c r="R133" s="3"/>
      <x:c r="S133" s="3"/>
      <x:c r="T133" s="3"/>
      <x:c r="U133" s="3"/>
      <x:c r="V133" s="3"/>
      <x:c r="W133" s="3"/>
      <x:c r="X133" s="3"/>
      <x:c r="Y133" s="3"/>
      <x:c r="Z133" s="3"/>
      <x:c r="AA133" s="3"/>
      <x:c r="AB133" s="3"/>
    </x:row>
    <x:row r="134" ht="21" customHeight="1">
      <x:c r="A134" s="2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3"/>
      <x:c r="Q134" s="3"/>
      <x:c r="R134" s="3"/>
      <x:c r="S134" s="3"/>
      <x:c r="T134" s="3"/>
      <x:c r="U134" s="3"/>
      <x:c r="V134" s="3"/>
      <x:c r="W134" s="3"/>
      <x:c r="X134" s="3"/>
      <x:c r="Y134" s="3"/>
      <x:c r="Z134" s="3"/>
      <x:c r="AA134" s="3"/>
      <x:c r="AB134" s="3"/>
    </x:row>
    <x:row r="135" ht="21" customHeight="1">
      <x:c r="A135" s="2"/>
      <x:c r="B135" s="3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3"/>
      <x:c r="Q135" s="3"/>
      <x:c r="R135" s="3"/>
      <x:c r="S135" s="3"/>
      <x:c r="T135" s="3"/>
      <x:c r="U135" s="3"/>
      <x:c r="V135" s="3"/>
      <x:c r="W135" s="3"/>
      <x:c r="X135" s="3"/>
      <x:c r="Y135" s="3"/>
      <x:c r="Z135" s="3"/>
      <x:c r="AA135" s="3"/>
      <x:c r="AB135" s="3"/>
    </x:row>
    <x:row r="136" ht="21" customHeight="1">
      <x:c r="A136" s="2"/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3"/>
      <x:c r="Q136" s="3"/>
      <x:c r="R136" s="3"/>
      <x:c r="S136" s="3"/>
      <x:c r="T136" s="3"/>
      <x:c r="U136" s="3"/>
      <x:c r="V136" s="3"/>
      <x:c r="W136" s="3"/>
      <x:c r="X136" s="3"/>
      <x:c r="Y136" s="3"/>
      <x:c r="Z136" s="3"/>
      <x:c r="AA136" s="3"/>
      <x:c r="AB136" s="3"/>
    </x:row>
    <x:row r="137" ht="21" customHeight="1">
      <x:c r="A137" s="2"/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3"/>
      <x:c r="Q137" s="3"/>
      <x:c r="R137" s="3"/>
      <x:c r="S137" s="3"/>
      <x:c r="T137" s="3"/>
      <x:c r="U137" s="3"/>
      <x:c r="V137" s="3"/>
      <x:c r="W137" s="3"/>
      <x:c r="X137" s="3"/>
      <x:c r="Y137" s="3"/>
      <x:c r="Z137" s="3"/>
      <x:c r="AA137" s="3"/>
      <x:c r="AB137" s="3"/>
    </x:row>
    <x:row r="138" ht="21" customHeight="1">
      <x:c r="A138" s="2"/>
      <x:c r="B138" s="3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3"/>
      <x:c r="Q138" s="3"/>
      <x:c r="R138" s="3"/>
      <x:c r="S138" s="3"/>
      <x:c r="T138" s="3"/>
      <x:c r="U138" s="3"/>
      <x:c r="V138" s="3"/>
      <x:c r="W138" s="3"/>
      <x:c r="X138" s="3"/>
      <x:c r="Y138" s="3"/>
      <x:c r="Z138" s="3"/>
      <x:c r="AA138" s="3"/>
      <x:c r="AB138" s="3"/>
    </x:row>
    <x:row r="139" ht="21" customHeight="1">
      <x:c r="A139" s="2"/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3"/>
      <x:c r="Q139" s="3"/>
      <x:c r="R139" s="3"/>
      <x:c r="S139" s="3"/>
      <x:c r="T139" s="3"/>
      <x:c r="U139" s="3"/>
      <x:c r="V139" s="3"/>
      <x:c r="W139" s="3"/>
      <x:c r="X139" s="3"/>
      <x:c r="Y139" s="3"/>
      <x:c r="Z139" s="3"/>
      <x:c r="AA139" s="3"/>
      <x:c r="AB139" s="3"/>
    </x:row>
    <x:row r="140" ht="21" customHeight="1">
      <x:c r="A140" s="2"/>
      <x:c r="B140" s="3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3"/>
      <x:c r="Q140" s="3"/>
      <x:c r="R140" s="3"/>
      <x:c r="S140" s="3"/>
      <x:c r="T140" s="3"/>
      <x:c r="U140" s="3"/>
      <x:c r="V140" s="3"/>
      <x:c r="W140" s="3"/>
      <x:c r="X140" s="3"/>
      <x:c r="Y140" s="3"/>
      <x:c r="Z140" s="3"/>
      <x:c r="AA140" s="3"/>
      <x:c r="AB140" s="3"/>
    </x:row>
    <x:row r="141" ht="21" customHeight="1">
      <x:c r="A141" s="2"/>
      <x:c r="B141" s="3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3"/>
      <x:c r="Q141" s="3"/>
      <x:c r="R141" s="3"/>
      <x:c r="S141" s="3"/>
      <x:c r="T141" s="3"/>
      <x:c r="U141" s="3"/>
      <x:c r="V141" s="3"/>
      <x:c r="W141" s="3"/>
      <x:c r="X141" s="3"/>
      <x:c r="Y141" s="3"/>
      <x:c r="Z141" s="3"/>
      <x:c r="AA141" s="3"/>
      <x:c r="AB141" s="3"/>
    </x:row>
    <x:row r="142" ht="21" customHeight="1">
      <x:c r="A142" s="2"/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3"/>
      <x:c r="Q142" s="3"/>
      <x:c r="R142" s="3"/>
      <x:c r="S142" s="3"/>
      <x:c r="T142" s="3"/>
      <x:c r="U142" s="3"/>
      <x:c r="V142" s="3"/>
      <x:c r="W142" s="3"/>
      <x:c r="X142" s="3"/>
      <x:c r="Y142" s="3"/>
      <x:c r="Z142" s="3"/>
      <x:c r="AA142" s="3"/>
      <x:c r="AB142" s="3"/>
    </x:row>
    <x:row r="143" ht="21" customHeight="1">
      <x:c r="A143" s="2"/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3"/>
      <x:c r="Q143" s="3"/>
      <x:c r="R143" s="3"/>
      <x:c r="S143" s="3"/>
      <x:c r="T143" s="3"/>
      <x:c r="U143" s="3"/>
      <x:c r="V143" s="3"/>
      <x:c r="W143" s="3"/>
      <x:c r="X143" s="3"/>
      <x:c r="Y143" s="3"/>
      <x:c r="Z143" s="3"/>
      <x:c r="AA143" s="3"/>
      <x:c r="AB143" s="3"/>
    </x:row>
    <x:row r="144" ht="21" customHeight="1">
      <x:c r="A144" s="2"/>
      <x:c r="B144" s="3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3"/>
      <x:c r="Q144" s="3"/>
      <x:c r="R144" s="3"/>
      <x:c r="S144" s="3"/>
      <x:c r="T144" s="3"/>
      <x:c r="U144" s="3"/>
      <x:c r="V144" s="3"/>
      <x:c r="W144" s="3"/>
      <x:c r="X144" s="3"/>
      <x:c r="Y144" s="3"/>
      <x:c r="Z144" s="3"/>
      <x:c r="AA144" s="3"/>
      <x:c r="AB144" s="3"/>
    </x:row>
    <x:row r="145" ht="21" customHeight="1">
      <x:c r="A145" s="2"/>
      <x:c r="B145" s="3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3"/>
      <x:c r="Q145" s="3"/>
      <x:c r="R145" s="3"/>
      <x:c r="S145" s="3"/>
      <x:c r="T145" s="3"/>
      <x:c r="U145" s="3"/>
      <x:c r="V145" s="3"/>
      <x:c r="W145" s="3"/>
      <x:c r="X145" s="3"/>
      <x:c r="Y145" s="3"/>
      <x:c r="Z145" s="3"/>
      <x:c r="AA145" s="3"/>
      <x:c r="AB145" s="3"/>
    </x:row>
    <x:row r="146" ht="21" customHeight="1">
      <x:c r="A146" s="2"/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3"/>
      <x:c r="Q146" s="3"/>
      <x:c r="R146" s="3"/>
      <x:c r="S146" s="3"/>
      <x:c r="T146" s="3"/>
      <x:c r="U146" s="3"/>
      <x:c r="V146" s="3"/>
      <x:c r="W146" s="3"/>
      <x:c r="X146" s="3"/>
      <x:c r="Y146" s="3"/>
      <x:c r="Z146" s="3"/>
      <x:c r="AA146" s="3"/>
      <x:c r="AB146" s="3"/>
    </x:row>
    <x:row r="147" ht="21" customHeight="1">
      <x:c r="A147" s="2"/>
      <x:c r="B147" s="3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3"/>
      <x:c r="Q147" s="3"/>
      <x:c r="R147" s="3"/>
      <x:c r="S147" s="3"/>
      <x:c r="T147" s="3"/>
      <x:c r="U147" s="3"/>
      <x:c r="V147" s="3"/>
      <x:c r="W147" s="3"/>
      <x:c r="X147" s="3"/>
      <x:c r="Y147" s="3"/>
      <x:c r="Z147" s="3"/>
      <x:c r="AA147" s="3"/>
      <x:c r="AB147" s="3"/>
    </x:row>
    <x:row r="148" ht="21" customHeight="1">
      <x:c r="A148" s="2"/>
      <x:c r="B148" s="3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3"/>
      <x:c r="Q148" s="3"/>
      <x:c r="R148" s="3"/>
      <x:c r="S148" s="3"/>
      <x:c r="T148" s="3"/>
      <x:c r="U148" s="3"/>
      <x:c r="V148" s="3"/>
      <x:c r="W148" s="3"/>
      <x:c r="X148" s="3"/>
      <x:c r="Y148" s="3"/>
      <x:c r="Z148" s="3"/>
      <x:c r="AA148" s="3"/>
      <x:c r="AB148" s="3"/>
    </x:row>
    <x:row r="149" ht="21" customHeight="1">
      <x:c r="A149" s="2"/>
      <x:c r="B149" s="3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3"/>
      <x:c r="Q149" s="3"/>
      <x:c r="R149" s="3"/>
      <x:c r="S149" s="3"/>
      <x:c r="T149" s="3"/>
      <x:c r="U149" s="3"/>
      <x:c r="V149" s="3"/>
      <x:c r="W149" s="3"/>
      <x:c r="X149" s="3"/>
      <x:c r="Y149" s="3"/>
      <x:c r="Z149" s="3"/>
      <x:c r="AA149" s="3"/>
      <x:c r="AB149" s="3"/>
    </x:row>
    <x:row r="150" ht="21" customHeight="1">
      <x:c r="A150" s="2"/>
      <x:c r="B150" s="3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3"/>
      <x:c r="Q150" s="3"/>
      <x:c r="R150" s="3"/>
      <x:c r="S150" s="3"/>
      <x:c r="T150" s="3"/>
      <x:c r="U150" s="3"/>
      <x:c r="V150" s="3"/>
      <x:c r="W150" s="3"/>
      <x:c r="X150" s="3"/>
      <x:c r="Y150" s="3"/>
      <x:c r="Z150" s="3"/>
      <x:c r="AA150" s="3"/>
      <x:c r="AB150" s="3"/>
    </x:row>
    <x:row r="151" ht="21" customHeight="1">
      <x:c r="A151" s="2"/>
      <x:c r="B151" s="3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3"/>
      <x:c r="Q151" s="3"/>
      <x:c r="R151" s="3"/>
      <x:c r="S151" s="3"/>
      <x:c r="T151" s="3"/>
      <x:c r="U151" s="3"/>
      <x:c r="V151" s="3"/>
      <x:c r="W151" s="3"/>
      <x:c r="X151" s="3"/>
      <x:c r="Y151" s="3"/>
      <x:c r="Z151" s="3"/>
      <x:c r="AA151" s="3"/>
      <x:c r="AB151" s="3"/>
    </x:row>
    <x:row r="152" ht="21" customHeight="1">
      <x:c r="A152" s="2"/>
      <x:c r="B152" s="3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3"/>
      <x:c r="Q152" s="3"/>
      <x:c r="R152" s="3"/>
      <x:c r="S152" s="3"/>
      <x:c r="T152" s="3"/>
      <x:c r="U152" s="3"/>
      <x:c r="V152" s="3"/>
      <x:c r="W152" s="3"/>
      <x:c r="X152" s="3"/>
      <x:c r="Y152" s="3"/>
      <x:c r="Z152" s="3"/>
      <x:c r="AA152" s="3"/>
      <x:c r="AB152" s="3"/>
    </x:row>
    <x:row r="153" ht="21" customHeight="1">
      <x:c r="A153" s="2"/>
      <x:c r="B153" s="3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3"/>
      <x:c r="Q153" s="3"/>
      <x:c r="R153" s="3"/>
      <x:c r="S153" s="3"/>
      <x:c r="T153" s="3"/>
      <x:c r="U153" s="3"/>
      <x:c r="V153" s="3"/>
      <x:c r="W153" s="3"/>
      <x:c r="X153" s="3"/>
      <x:c r="Y153" s="3"/>
      <x:c r="Z153" s="3"/>
      <x:c r="AA153" s="3"/>
      <x:c r="AB153" s="3"/>
    </x:row>
    <x:row r="154" ht="21" customHeight="1">
      <x:c r="A154" s="2"/>
      <x:c r="B154" s="3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3"/>
      <x:c r="Q154" s="3"/>
      <x:c r="R154" s="3"/>
      <x:c r="S154" s="3"/>
      <x:c r="T154" s="3"/>
      <x:c r="U154" s="3"/>
      <x:c r="V154" s="3"/>
      <x:c r="W154" s="3"/>
      <x:c r="X154" s="3"/>
      <x:c r="Y154" s="3"/>
      <x:c r="Z154" s="3"/>
      <x:c r="AA154" s="3"/>
      <x:c r="AB154" s="3"/>
    </x:row>
    <x:row r="155" ht="21" customHeight="1">
      <x:c r="A155" s="2"/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3"/>
      <x:c r="Q155" s="3"/>
      <x:c r="R155" s="3"/>
      <x:c r="S155" s="3"/>
      <x:c r="T155" s="3"/>
      <x:c r="U155" s="3"/>
      <x:c r="V155" s="3"/>
      <x:c r="W155" s="3"/>
      <x:c r="X155" s="3"/>
      <x:c r="Y155" s="3"/>
      <x:c r="Z155" s="3"/>
      <x:c r="AA155" s="3"/>
      <x:c r="AB155" s="3"/>
    </x:row>
    <x:row r="156" ht="21" customHeight="1">
      <x:c r="A156" s="2"/>
      <x:c r="B156" s="3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3"/>
      <x:c r="Q156" s="3"/>
      <x:c r="R156" s="3"/>
      <x:c r="S156" s="3"/>
      <x:c r="T156" s="3"/>
      <x:c r="U156" s="3"/>
      <x:c r="V156" s="3"/>
      <x:c r="W156" s="3"/>
      <x:c r="X156" s="3"/>
      <x:c r="Y156" s="3"/>
      <x:c r="Z156" s="3"/>
      <x:c r="AA156" s="3"/>
      <x:c r="AB156" s="3"/>
    </x:row>
    <x:row r="157" ht="21" customHeight="1">
      <x:c r="A157" s="2"/>
      <x:c r="B157" s="3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3"/>
      <x:c r="Q157" s="3"/>
      <x:c r="R157" s="3"/>
      <x:c r="S157" s="3"/>
      <x:c r="T157" s="3"/>
      <x:c r="U157" s="3"/>
      <x:c r="V157" s="3"/>
      <x:c r="W157" s="3"/>
      <x:c r="X157" s="3"/>
      <x:c r="Y157" s="3"/>
      <x:c r="Z157" s="3"/>
      <x:c r="AA157" s="3"/>
      <x:c r="AB157" s="3"/>
    </x:row>
    <x:row r="158" ht="21" customHeight="1">
      <x:c r="A158" s="2"/>
      <x:c r="B158" s="3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3"/>
      <x:c r="Q158" s="3"/>
      <x:c r="R158" s="3"/>
      <x:c r="S158" s="3"/>
      <x:c r="T158" s="3"/>
      <x:c r="U158" s="3"/>
      <x:c r="V158" s="3"/>
      <x:c r="W158" s="3"/>
      <x:c r="X158" s="3"/>
      <x:c r="Y158" s="3"/>
      <x:c r="Z158" s="3"/>
      <x:c r="AA158" s="3"/>
      <x:c r="AB158" s="3"/>
    </x:row>
    <x:row r="159" ht="21" customHeight="1">
      <x:c r="A159" s="2"/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3"/>
      <x:c r="Q159" s="3"/>
      <x:c r="R159" s="3"/>
      <x:c r="S159" s="3"/>
      <x:c r="T159" s="3"/>
      <x:c r="U159" s="3"/>
      <x:c r="V159" s="3"/>
      <x:c r="W159" s="3"/>
      <x:c r="X159" s="3"/>
      <x:c r="Y159" s="3"/>
      <x:c r="Z159" s="3"/>
      <x:c r="AA159" s="3"/>
      <x:c r="AB159" s="3"/>
    </x:row>
    <x:row r="160" ht="21" customHeight="1">
      <x:c r="A160" s="2"/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3"/>
      <x:c r="Q160" s="3"/>
      <x:c r="R160" s="3"/>
      <x:c r="S160" s="3"/>
      <x:c r="T160" s="3"/>
      <x:c r="U160" s="3"/>
      <x:c r="V160" s="3"/>
      <x:c r="W160" s="3"/>
      <x:c r="X160" s="3"/>
      <x:c r="Y160" s="3"/>
      <x:c r="Z160" s="3"/>
      <x:c r="AA160" s="3"/>
      <x:c r="AB160" s="3"/>
    </x:row>
    <x:row r="161" ht="21" customHeight="1">
      <x:c r="A161" s="2"/>
      <x:c r="B161" s="3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3"/>
      <x:c r="Q161" s="3"/>
      <x:c r="R161" s="3"/>
      <x:c r="S161" s="3"/>
      <x:c r="T161" s="3"/>
      <x:c r="U161" s="3"/>
      <x:c r="V161" s="3"/>
      <x:c r="W161" s="3"/>
      <x:c r="X161" s="3"/>
      <x:c r="Y161" s="3"/>
      <x:c r="Z161" s="3"/>
      <x:c r="AA161" s="3"/>
      <x:c r="AB161" s="3"/>
    </x:row>
    <x:row r="162" ht="21" customHeight="1">
      <x:c r="A162" s="2"/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3"/>
      <x:c r="Q162" s="3"/>
      <x:c r="R162" s="3"/>
      <x:c r="S162" s="3"/>
      <x:c r="T162" s="3"/>
      <x:c r="U162" s="3"/>
      <x:c r="V162" s="3"/>
      <x:c r="W162" s="3"/>
      <x:c r="X162" s="3"/>
      <x:c r="Y162" s="3"/>
      <x:c r="Z162" s="3"/>
      <x:c r="AA162" s="3"/>
      <x:c r="AB162" s="3"/>
    </x:row>
    <x:row r="163" ht="21" customHeight="1">
      <x:c r="A163" s="2"/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3"/>
      <x:c r="Q163" s="3"/>
      <x:c r="R163" s="3"/>
      <x:c r="S163" s="3"/>
      <x:c r="T163" s="3"/>
      <x:c r="U163" s="3"/>
      <x:c r="V163" s="3"/>
      <x:c r="W163" s="3"/>
      <x:c r="X163" s="3"/>
      <x:c r="Y163" s="3"/>
      <x:c r="Z163" s="3"/>
      <x:c r="AA163" s="3"/>
      <x:c r="AB163" s="3"/>
    </x:row>
    <x:row r="164" ht="21" customHeight="1">
      <x:c r="A164" s="2"/>
      <x:c r="B164" s="3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3"/>
      <x:c r="Q164" s="3"/>
      <x:c r="R164" s="3"/>
      <x:c r="S164" s="3"/>
      <x:c r="T164" s="3"/>
      <x:c r="U164" s="3"/>
      <x:c r="V164" s="3"/>
      <x:c r="W164" s="3"/>
      <x:c r="X164" s="3"/>
      <x:c r="Y164" s="3"/>
      <x:c r="Z164" s="3"/>
      <x:c r="AA164" s="3"/>
      <x:c r="AB164" s="3"/>
    </x:row>
    <x:row r="165" ht="21" customHeight="1">
      <x:c r="A165" s="2"/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3"/>
      <x:c r="Q165" s="3"/>
      <x:c r="R165" s="3"/>
      <x:c r="S165" s="3"/>
      <x:c r="T165" s="3"/>
      <x:c r="U165" s="3"/>
      <x:c r="V165" s="3"/>
      <x:c r="W165" s="3"/>
      <x:c r="X165" s="3"/>
      <x:c r="Y165" s="3"/>
      <x:c r="Z165" s="3"/>
      <x:c r="AA165" s="3"/>
      <x:c r="AB165" s="3"/>
    </x:row>
    <x:row r="166" ht="21" customHeight="1">
      <x:c r="A166" s="2"/>
      <x:c r="B166" s="3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3"/>
      <x:c r="Q166" s="3"/>
      <x:c r="R166" s="3"/>
      <x:c r="S166" s="3"/>
      <x:c r="T166" s="3"/>
      <x:c r="U166" s="3"/>
      <x:c r="V166" s="3"/>
      <x:c r="W166" s="3"/>
      <x:c r="X166" s="3"/>
      <x:c r="Y166" s="3"/>
      <x:c r="Z166" s="3"/>
      <x:c r="AA166" s="3"/>
      <x:c r="AB166" s="3"/>
    </x:row>
    <x:row r="167" ht="21" customHeight="1">
      <x:c r="A167" s="2"/>
      <x:c r="B167" s="3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3"/>
      <x:c r="Q167" s="3"/>
      <x:c r="R167" s="3"/>
      <x:c r="S167" s="3"/>
      <x:c r="T167" s="3"/>
      <x:c r="U167" s="3"/>
      <x:c r="V167" s="3"/>
      <x:c r="W167" s="3"/>
      <x:c r="X167" s="3"/>
      <x:c r="Y167" s="3"/>
      <x:c r="Z167" s="3"/>
      <x:c r="AA167" s="3"/>
      <x:c r="AB167" s="3"/>
    </x:row>
    <x:row r="168" ht="21" customHeight="1">
      <x:c r="A168" s="2"/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3"/>
      <x:c r="Q168" s="3"/>
      <x:c r="R168" s="3"/>
      <x:c r="S168" s="3"/>
      <x:c r="T168" s="3"/>
      <x:c r="U168" s="3"/>
      <x:c r="V168" s="3"/>
      <x:c r="W168" s="3"/>
      <x:c r="X168" s="3"/>
      <x:c r="Y168" s="3"/>
      <x:c r="Z168" s="3"/>
      <x:c r="AA168" s="3"/>
      <x:c r="AB168" s="3"/>
    </x:row>
    <x:row r="169" ht="21" customHeight="1">
      <x:c r="A169" s="2"/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3"/>
      <x:c r="Q169" s="3"/>
      <x:c r="R169" s="3"/>
      <x:c r="S169" s="3"/>
      <x:c r="T169" s="3"/>
      <x:c r="U169" s="3"/>
      <x:c r="V169" s="3"/>
      <x:c r="W169" s="3"/>
      <x:c r="X169" s="3"/>
      <x:c r="Y169" s="3"/>
      <x:c r="Z169" s="3"/>
      <x:c r="AA169" s="3"/>
      <x:c r="AB169" s="3"/>
    </x:row>
    <x:row r="170" ht="21" customHeight="1">
      <x:c r="A170" s="2"/>
      <x:c r="B170" s="3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3"/>
      <x:c r="Q170" s="3"/>
      <x:c r="R170" s="3"/>
      <x:c r="S170" s="3"/>
      <x:c r="T170" s="3"/>
      <x:c r="U170" s="3"/>
      <x:c r="V170" s="3"/>
      <x:c r="W170" s="3"/>
      <x:c r="X170" s="3"/>
      <x:c r="Y170" s="3"/>
      <x:c r="Z170" s="3"/>
      <x:c r="AA170" s="3"/>
      <x:c r="AB170" s="3"/>
    </x:row>
    <x:row r="171" ht="21" customHeight="1">
      <x:c r="A171" s="2"/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3"/>
      <x:c r="Q171" s="3"/>
      <x:c r="R171" s="3"/>
      <x:c r="S171" s="3"/>
      <x:c r="T171" s="3"/>
      <x:c r="U171" s="3"/>
      <x:c r="V171" s="3"/>
      <x:c r="W171" s="3"/>
      <x:c r="X171" s="3"/>
      <x:c r="Y171" s="3"/>
      <x:c r="Z171" s="3"/>
      <x:c r="AA171" s="3"/>
      <x:c r="AB171" s="3"/>
    </x:row>
    <x:row r="172" ht="21" customHeight="1">
      <x:c r="A172" s="2"/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3"/>
      <x:c r="Q172" s="3"/>
      <x:c r="R172" s="3"/>
      <x:c r="S172" s="3"/>
      <x:c r="T172" s="3"/>
      <x:c r="U172" s="3"/>
      <x:c r="V172" s="3"/>
      <x:c r="W172" s="3"/>
      <x:c r="X172" s="3"/>
      <x:c r="Y172" s="3"/>
      <x:c r="Z172" s="3"/>
      <x:c r="AA172" s="3"/>
      <x:c r="AB172" s="3"/>
    </x:row>
    <x:row r="173" ht="21" customHeight="1">
      <x:c r="A173" s="2"/>
      <x:c r="B173" s="3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3"/>
      <x:c r="Q173" s="3"/>
      <x:c r="R173" s="3"/>
      <x:c r="S173" s="3"/>
      <x:c r="T173" s="3"/>
      <x:c r="U173" s="3"/>
      <x:c r="V173" s="3"/>
      <x:c r="W173" s="3"/>
      <x:c r="X173" s="3"/>
      <x:c r="Y173" s="3"/>
      <x:c r="Z173" s="3"/>
      <x:c r="AA173" s="3"/>
      <x:c r="AB173" s="3"/>
    </x:row>
    <x:row r="174" ht="21" customHeight="1">
      <x:c r="A174" s="2"/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3"/>
      <x:c r="Q174" s="3"/>
      <x:c r="R174" s="3"/>
      <x:c r="S174" s="3"/>
      <x:c r="T174" s="3"/>
      <x:c r="U174" s="3"/>
      <x:c r="V174" s="3"/>
      <x:c r="W174" s="3"/>
      <x:c r="X174" s="3"/>
      <x:c r="Y174" s="3"/>
      <x:c r="Z174" s="3"/>
      <x:c r="AA174" s="3"/>
      <x:c r="AB174" s="3"/>
    </x:row>
    <x:row r="175" ht="21" customHeight="1">
      <x:c r="A175" s="2"/>
      <x:c r="B175" s="3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3"/>
      <x:c r="Q175" s="3"/>
      <x:c r="R175" s="3"/>
      <x:c r="S175" s="3"/>
      <x:c r="T175" s="3"/>
      <x:c r="U175" s="3"/>
      <x:c r="V175" s="3"/>
      <x:c r="W175" s="3"/>
      <x:c r="X175" s="3"/>
      <x:c r="Y175" s="3"/>
      <x:c r="Z175" s="3"/>
      <x:c r="AA175" s="3"/>
      <x:c r="AB175" s="3"/>
    </x:row>
    <x:row r="176" ht="21" customHeight="1">
      <x:c r="A176" s="2"/>
      <x:c r="B176" s="3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3"/>
      <x:c r="Q176" s="3"/>
      <x:c r="R176" s="3"/>
      <x:c r="S176" s="3"/>
      <x:c r="T176" s="3"/>
      <x:c r="U176" s="3"/>
      <x:c r="V176" s="3"/>
      <x:c r="W176" s="3"/>
      <x:c r="X176" s="3"/>
      <x:c r="Y176" s="3"/>
      <x:c r="Z176" s="3"/>
      <x:c r="AA176" s="3"/>
      <x:c r="AB176" s="3"/>
    </x:row>
    <x:row r="177" ht="21" customHeight="1">
      <x:c r="A177" s="2"/>
      <x:c r="B177" s="3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3"/>
      <x:c r="Q177" s="3"/>
      <x:c r="R177" s="3"/>
      <x:c r="S177" s="3"/>
      <x:c r="T177" s="3"/>
      <x:c r="U177" s="3"/>
      <x:c r="V177" s="3"/>
      <x:c r="W177" s="3"/>
      <x:c r="X177" s="3"/>
      <x:c r="Y177" s="3"/>
      <x:c r="Z177" s="3"/>
      <x:c r="AA177" s="3"/>
      <x:c r="AB177" s="3"/>
    </x:row>
    <x:row r="178" ht="21" customHeight="1">
      <x:c r="A178" s="2"/>
      <x:c r="B178" s="3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3"/>
      <x:c r="Q178" s="3"/>
      <x:c r="R178" s="3"/>
      <x:c r="S178" s="3"/>
      <x:c r="T178" s="3"/>
      <x:c r="U178" s="3"/>
      <x:c r="V178" s="3"/>
      <x:c r="W178" s="3"/>
      <x:c r="X178" s="3"/>
      <x:c r="Y178" s="3"/>
      <x:c r="Z178" s="3"/>
      <x:c r="AA178" s="3"/>
      <x:c r="AB178" s="3"/>
    </x:row>
    <x:row r="179" ht="21" customHeight="1">
      <x:c r="A179" s="2"/>
      <x:c r="B179" s="3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3"/>
      <x:c r="Q179" s="3"/>
      <x:c r="R179" s="3"/>
      <x:c r="S179" s="3"/>
      <x:c r="T179" s="3"/>
      <x:c r="U179" s="3"/>
      <x:c r="V179" s="3"/>
      <x:c r="W179" s="3"/>
      <x:c r="X179" s="3"/>
      <x:c r="Y179" s="3"/>
      <x:c r="Z179" s="3"/>
      <x:c r="AA179" s="3"/>
      <x:c r="AB179" s="3"/>
    </x:row>
    <x:row r="180" ht="21" customHeight="1">
      <x:c r="A180" s="2"/>
      <x:c r="B180" s="3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3"/>
      <x:c r="Q180" s="3"/>
      <x:c r="R180" s="3"/>
      <x:c r="S180" s="3"/>
      <x:c r="T180" s="3"/>
      <x:c r="U180" s="3"/>
      <x:c r="V180" s="3"/>
      <x:c r="W180" s="3"/>
      <x:c r="X180" s="3"/>
      <x:c r="Y180" s="3"/>
      <x:c r="Z180" s="3"/>
      <x:c r="AA180" s="3"/>
      <x:c r="AB180" s="3"/>
    </x:row>
  </x:sheetData>
  <x:mergeCells>
    <x:mergeCell ref="A1:G1"/>
  </x:mergeCells>
  <x:conditionalFormatting sqref="B18:F18">
    <x:cfRule type="cellIs" dxfId="0" priority="1" operator="notBetween">
      <x:formula>-0.00001</x:formula>
      <x:formula>0.00001</x:formula>
    </x:cfRule>
  </x:conditionalFormatting>
  <x:conditionalFormatting sqref="B26:F26">
    <x:cfRule type="cellIs" dxfId="1" priority="2" operator="notBetween">
      <x:formula>-0.00001</x:formula>
      <x:formula>0.00001</x:formula>
    </x:cfRule>
  </x:conditionalFormatting>
  <x:conditionalFormatting sqref="B46:F46">
    <x:cfRule type="cellIs" dxfId="2" priority="3" operator="notBetween">
      <x:formula>-0.00001</x:formula>
      <x:formula>0.00001</x:formula>
    </x:cfRule>
  </x:conditionalFormatting>
  <x:conditionalFormatting sqref="B54:F54">
    <x:cfRule type="cellIs" dxfId="3" priority="4" operator="notBetween">
      <x:formula>-0.00001</x:formula>
      <x:formula>0.00001</x:formula>
    </x:cfRule>
  </x:conditionalFormatting>
  <x:conditionalFormatting sqref="B74:F74">
    <x:cfRule type="cellIs" dxfId="4" priority="5" operator="notBetween">
      <x:formula>-0.00001</x:formula>
      <x:formula>0.00001</x:formula>
    </x:cfRule>
  </x:conditionalFormatting>
  <x:conditionalFormatting sqref="B82:F82">
    <x:cfRule type="cellIs" dxfId="5" priority="6" operator="notBetween">
      <x:formula>-0.00001</x:formula>
      <x:formula>0.00001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6354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</x:cols>
  <x:sheetData>
    <x:row r="1" ht="32" customHeight="1">
      <x:c r="A1" s="6" t="str">
        <x:v>Когорты ввода • баланс проданной и непроданной площади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7"/>
      <x:c r="AA1" s="7"/>
      <x:c r="AB1" s="7"/>
    </x:row>
    <x:row r="2" ht="21" customHeight="1">
      <x:c r="A2" s="2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</x:row>
    <x:row r="3" ht="32" customHeight="1">
      <x:c r="A3" s="10" t="str">
        <x:v>Все площади — тыс. м². Год ввода — календарная группа. Продажи ограничены емкостью группы; перенос переносит и проданную, и непроданную часть.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  <x:c r="AA3" s="3"/>
      <x:c r="AB3" s="3"/>
    </x:row>
    <x:row r="4" ht="21" customHeight="1">
      <x:c r="A4" s="2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</x:row>
    <x:row r="5" ht="58" customHeight="1">
      <x:c r="A5" s="18" t="str">
        <x:v>Класс</x:v>
      </x:c>
      <x:c r="B5" s="19" t="str">
        <x:v>Год расчета</x:v>
      </x:c>
      <x:c r="C5" s="19" t="str">
        <x:v>Год ввода</x:v>
      </x:c>
      <x:c r="D5" s="19" t="str">
        <x:v>Портфель на начало</x:v>
      </x:c>
      <x:c r="E5" s="19" t="str">
        <x:v>Продано на начало</x:v>
      </x:c>
      <x:c r="F5" s="19" t="str">
        <x:v>Новые запуски</x:v>
      </x:c>
      <x:c r="G5" s="19" t="str">
        <x:v>Доступный портфель</x:v>
      </x:c>
      <x:c r="H5" s="19" t="str">
        <x:v>Продано до новых сделок</x:v>
      </x:c>
      <x:c r="I5" s="19" t="str">
        <x:v>Непроданная емкость</x:v>
      </x:c>
      <x:c r="J5" s="19" t="str">
        <x:v>Базовый вес продаж</x:v>
      </x:c>
      <x:c r="K5" s="19" t="str">
        <x:v>Вес прохода 1</x:v>
      </x:c>
      <x:c r="L5" s="19" t="str">
        <x:v>Продажи 1</x:v>
      </x:c>
      <x:c r="M5" s="19" t="str">
        <x:v>Вес прохода 2</x:v>
      </x:c>
      <x:c r="N5" s="19" t="str">
        <x:v>Продажи 2</x:v>
      </x:c>
      <x:c r="O5" s="19" t="str">
        <x:v>Вес прохода 3</x:v>
      </x:c>
      <x:c r="P5" s="19" t="str">
        <x:v>Продажи 3</x:v>
      </x:c>
      <x:c r="Q5" s="19" t="str">
        <x:v>Вес прохода 4</x:v>
      </x:c>
      <x:c r="R5" s="19" t="str">
        <x:v>Продажи 4</x:v>
      </x:c>
      <x:c r="S5" s="19" t="str">
        <x:v>Вес прохода 5</x:v>
      </x:c>
      <x:c r="T5" s="19" t="str">
        <x:v>Продажи 5</x:v>
      </x:c>
      <x:c r="U5" s="19" t="str">
        <x:v>Продажи всего</x:v>
      </x:c>
      <x:c r="V5" s="19" t="str">
        <x:v>Ввод площади</x:v>
      </x:c>
      <x:c r="W5" s="19" t="str">
        <x:v>Ввод проданного</x:v>
      </x:c>
      <x:c r="X5" s="19" t="str">
        <x:v>Остаток до ввода</x:v>
      </x:c>
      <x:c r="Y5" s="19" t="str">
        <x:v>Продано до ввода</x:v>
      </x:c>
      <x:c r="Z5" s="19" t="str">
        <x:v>Конечная площадь</x:v>
      </x:c>
      <x:c r="AA5" s="19" t="str">
        <x:v>Конечная проданная</x:v>
      </x:c>
      <x:c r="AB5" s="19" t="str">
        <x:v>Конечная непроданная</x:v>
      </x:c>
    </x:row>
    <x:row r="6" ht="21" customHeight="1">
      <x:c r="A6" s="2" t="str">
        <x:v>Эконом/комфорт</x:v>
      </x:c>
      <x:c r="B6" s="12" t="n">
        <x:v>2026</x:v>
      </x:c>
      <x:c r="C6" s="12" t="n">
        <x:v>2026</x:v>
      </x:c>
      <x:c r="D6" s="24" t="n">
        <x:f>'Данные'!C6</x:f>
        <x:v>1682.77032</x:v>
      </x:c>
      <x:c r="E6" s="24" t="n">
        <x:f>'Данные'!D6</x:f>
        <x:v>1316.42227</x:v>
      </x:c>
      <x:c r="F6" s="24" t="n">
        <x:f>'Расчет'!B8*'Допущения'!B24</x:f>
        <x:v>0</x:v>
      </x:c>
      <x:c r="G6" s="20" t="n">
        <x:f>D6+F6</x:f>
        <x:v>1682.77032</x:v>
      </x:c>
      <x:c r="H6" s="20" t="n">
        <x:f>E6</x:f>
        <x:v>1316.42227</x:v>
      </x:c>
      <x:c r="I6" s="20" t="n">
        <x:f>MAX(0,G6-H6)</x:f>
        <x:v>366.34805000000006</x:v>
      </x:c>
      <x:c r="J6" s="38" t="n">
        <x:f>'Допущения'!B30</x:f>
        <x:v>0.1357</x:v>
      </x:c>
      <x:c r="K6" s="39" t="n">
        <x:f>IF(I6-(0)&gt;0.000000001,J6,0)</x:f>
        <x:v>0.1357</x:v>
      </x:c>
      <x:c r="L6" s="24" t="n">
        <x:f>IF(SUM(K$6:K$15)&gt;0,MIN(MAX(0,I6-(0)),MAX(0,'Расчет'!B17-(0))*K6/SUM(K$6:K$15)),0)</x:f>
        <x:v>31.59158993097019</x:v>
      </x:c>
      <x:c r="M6" s="20" t="n">
        <x:f>IF(I6-(L6)&gt;0.000000001,J6,0)</x:f>
        <x:v>0.1357</x:v>
      </x:c>
      <x:c r="N6" s="24" t="n">
        <x:f>IF(SUM(M$6:M$15)&gt;0,MIN(MAX(0,I6-(L6)),MAX(0,'Расчет'!B17-(SUM(L6:L15)))*M6/SUM(M$6:M$15)),0)</x:f>
        <x:v>0</x:v>
      </x:c>
      <x:c r="O6" s="20" t="n">
        <x:f>IF(I6-(L6+N6)&gt;0.000000001,J6,0)</x:f>
        <x:v>0.1357</x:v>
      </x:c>
      <x:c r="P6" s="24" t="n">
        <x:f>IF(SUM(O$6:O$15)&gt;0,MIN(MAX(0,I6-(L6+N6)),MAX(0,'Расчет'!B17-(SUM(L6:L15)+SUM(N6:N15)))*O6/SUM(O$6:O$15)),0)</x:f>
        <x:v>0</x:v>
      </x:c>
      <x:c r="Q6" s="20" t="n">
        <x:f>IF(I6-(L6+N6+P6)&gt;0.000000001,J6,0)</x:f>
        <x:v>0.1357</x:v>
      </x:c>
      <x:c r="R6" s="24" t="n">
        <x:f>IF(SUM(Q$6:Q$15)&gt;0,MIN(MAX(0,I6-(L6+N6+P6)),MAX(0,'Расчет'!B17-(SUM(L6:L15)+SUM(N6:N15)+SUM(P6:P15)))*Q6/SUM(Q$6:Q$15)),0)</x:f>
        <x:v>0</x:v>
      </x:c>
      <x:c r="S6" s="20" t="n">
        <x:f>IF(I6-(L6+N6+P6+R6)&gt;0.000000001,J6,0)</x:f>
        <x:v>0.1357</x:v>
      </x:c>
      <x:c r="T6" s="24" t="n">
        <x:f>IF(SUM(S$6:S$15)&gt;0,MIN(MAX(0,I6-(L6+N6+P6+R6)),MAX(0,'Расчет'!B17-(SUM(L6:L15)+SUM(N6:N15)+SUM(P6:P15)+SUM(R6:R15)))*S6/SUM(S$6:S$15)),0)</x:f>
        <x:v>0</x:v>
      </x:c>
      <x:c r="U6" s="20" t="n">
        <x:f>SUM(L6,N6,P6,R6,T6)</x:f>
        <x:v>31.59158993097019</x:v>
      </x:c>
      <x:c r="V6" s="24" t="n">
        <x:f>G6*(1-'Допущения'!B7)</x:f>
        <x:v>1346.2162560000002</x:v>
      </x:c>
      <x:c r="W6" s="24" t="n">
        <x:f>Y6*(1-'Допущения'!B7)</x:f>
        <x:v>1078.4110879447762</x:v>
      </x:c>
      <x:c r="X6" s="20" t="n">
        <x:f>G6</x:f>
        <x:v>1682.77032</x:v>
      </x:c>
      <x:c r="Y6" s="20" t="n">
        <x:f>H6+U6</x:f>
        <x:v>1348.0138599309703</x:v>
      </x:c>
      <x:c r="Z6" s="20" t="n">
        <x:f>G6-V6</x:f>
        <x:v>336.5540639999999</x:v>
      </x:c>
      <x:c r="AA6" s="20" t="n">
        <x:f>Y6-W6</x:f>
        <x:v>269.60277198619406</x:v>
      </x:c>
      <x:c r="AB6" s="20" t="n">
        <x:f>Z6-AA6</x:f>
        <x:v>66.95129201380587</x:v>
      </x:c>
    </x:row>
    <x:row r="7" ht="21" customHeight="1">
      <x:c r="A7" s="2" t="str">
        <x:v>Эконом/комфорт</x:v>
      </x:c>
      <x:c r="B7" s="12" t="n">
        <x:v>2026</x:v>
      </x:c>
      <x:c r="C7" s="12" t="n">
        <x:v>2027</x:v>
      </x:c>
      <x:c r="D7" s="24" t="n">
        <x:f>'Данные'!C7</x:f>
        <x:v>2071.6624700000007</x:v>
      </x:c>
      <x:c r="E7" s="24" t="n">
        <x:f>'Данные'!D7</x:f>
        <x:v>1389.0708600000005</x:v>
      </x:c>
      <x:c r="F7" s="24" t="n">
        <x:f>'Расчет'!B8*'Допущения'!C24</x:f>
        <x:v>36.67249659653853</x:v>
      </x:c>
      <x:c r="G7" s="20" t="n">
        <x:f>D7+F7</x:f>
        <x:v>2108.3349665965393</x:v>
      </x:c>
      <x:c r="H7" s="20" t="n">
        <x:f>E7</x:f>
        <x:v>1389.0708600000005</x:v>
      </x:c>
      <x:c r="I7" s="20" t="n">
        <x:f>MAX(0,G7-H7)</x:f>
        <x:v>719.2641065965388</x:v>
      </x:c>
      <x:c r="J7" s="38" t="n">
        <x:f>'Допущения'!C30</x:f>
        <x:v>0.3612</x:v>
      </x:c>
      <x:c r="K7" s="39" t="n">
        <x:f>IF(I7-(0)&gt;0.000000001,J7,0)</x:f>
        <x:v>0.3612</x:v>
      </x:c>
      <x:c r="L7" s="24" t="n">
        <x:f>IF(SUM(K$6:K$15)&gt;0,MIN(MAX(0,I7-(0)),MAX(0,'Расчет'!B17-(0))*K7/SUM(K$6:K$15)),0)</x:f>
        <x:v>84.089036721197</x:v>
      </x:c>
      <x:c r="M7" s="20" t="n">
        <x:f>IF(I7-(L7)&gt;0.000000001,J7,0)</x:f>
        <x:v>0.3612</x:v>
      </x:c>
      <x:c r="N7" s="24" t="n">
        <x:f>IF(SUM(M$6:M$15)&gt;0,MIN(MAX(0,I7-(L7)),MAX(0,'Расчет'!B17-(SUM(L6:L15)))*M7/SUM(M$6:M$15)),0)</x:f>
        <x:v>0</x:v>
      </x:c>
      <x:c r="O7" s="20" t="n">
        <x:f>IF(I7-(L7+N7)&gt;0.000000001,J7,0)</x:f>
        <x:v>0.3612</x:v>
      </x:c>
      <x:c r="P7" s="24" t="n">
        <x:f>IF(SUM(O$6:O$15)&gt;0,MIN(MAX(0,I7-(L7+N7)),MAX(0,'Расчет'!B17-(SUM(L6:L15)+SUM(N6:N15)))*O7/SUM(O$6:O$15)),0)</x:f>
        <x:v>0</x:v>
      </x:c>
      <x:c r="Q7" s="20" t="n">
        <x:f>IF(I7-(L7+N7+P7)&gt;0.000000001,J7,0)</x:f>
        <x:v>0.3612</x:v>
      </x:c>
      <x:c r="R7" s="24" t="n">
        <x:f>IF(SUM(Q$6:Q$15)&gt;0,MIN(MAX(0,I7-(L7+N7+P7)),MAX(0,'Расчет'!B17-(SUM(L6:L15)+SUM(N6:N15)+SUM(P6:P15)))*Q7/SUM(Q$6:Q$15)),0)</x:f>
        <x:v>0</x:v>
      </x:c>
      <x:c r="S7" s="20" t="n">
        <x:f>IF(I7-(L7+N7+P7+R7)&gt;0.000000001,J7,0)</x:f>
        <x:v>0.3612</x:v>
      </x:c>
      <x:c r="T7" s="24" t="n">
        <x:f>IF(SUM(S$6:S$15)&gt;0,MIN(MAX(0,I7-(L7+N7+P7+R7)),MAX(0,'Расчет'!B17-(SUM(L6:L15)+SUM(N6:N15)+SUM(P6:P15)+SUM(R6:R15)))*S7/SUM(S$6:S$15)),0)</x:f>
        <x:v>0</x:v>
      </x:c>
      <x:c r="U7" s="20" t="n">
        <x:f>SUM(L7,N7,P7,R7,T7)</x:f>
        <x:v>84.089036721197</x:v>
      </x:c>
      <x:c r="V7" s="20" t="n">
        <x:f>0</x:f>
        <x:v>0</x:v>
      </x:c>
      <x:c r="W7" s="20" t="n">
        <x:f>0</x:f>
        <x:v>0</x:v>
      </x:c>
      <x:c r="X7" s="20" t="n">
        <x:f>G7</x:f>
        <x:v>2108.3349665965393</x:v>
      </x:c>
      <x:c r="Y7" s="20" t="n">
        <x:f>H7+U7</x:f>
        <x:v>1473.1598967211976</x:v>
      </x:c>
      <x:c r="Z7" s="20" t="n">
        <x:f>G7-V7</x:f>
        <x:v>2108.3349665965393</x:v>
      </x:c>
      <x:c r="AA7" s="20" t="n">
        <x:f>Y7-W7</x:f>
        <x:v>1473.1598967211976</x:v>
      </x:c>
      <x:c r="AB7" s="20" t="n">
        <x:f>Z7-AA7</x:f>
        <x:v>635.1750698753417</x:v>
      </x:c>
    </x:row>
    <x:row r="8" ht="21" customHeight="1">
      <x:c r="A8" s="2" t="str">
        <x:v>Эконом/комфорт</x:v>
      </x:c>
      <x:c r="B8" s="12" t="n">
        <x:v>2026</x:v>
      </x:c>
      <x:c r="C8" s="12" t="n">
        <x:v>2028</x:v>
      </x:c>
      <x:c r="D8" s="24" t="n">
        <x:f>'Данные'!C8</x:f>
        <x:v>1529.84216</x:v>
      </x:c>
      <x:c r="E8" s="24" t="n">
        <x:f>'Данные'!D8</x:f>
        <x:v>659.3725700000001</x:v>
      </x:c>
      <x:c r="F8" s="24" t="n">
        <x:f>'Расчет'!B8*'Допущения'!D24</x:f>
        <x:v>78.54129431988306</x:v>
      </x:c>
      <x:c r="G8" s="20" t="n">
        <x:f>D8+F8</x:f>
        <x:v>1608.383454319883</x:v>
      </x:c>
      <x:c r="H8" s="20" t="n">
        <x:f>E8</x:f>
        <x:v>659.3725700000001</x:v>
      </x:c>
      <x:c r="I8" s="20" t="n">
        <x:f>MAX(0,G8-H8)</x:f>
        <x:v>949.0108843198828</x:v>
      </x:c>
      <x:c r="J8" s="38" t="n">
        <x:f>'Допущения'!D30</x:f>
        <x:v>0.3111</x:v>
      </x:c>
      <x:c r="K8" s="39" t="n">
        <x:f>IF(I8-(0)&gt;0.000000001,J8,0)</x:f>
        <x:v>0.3111</x:v>
      </x:c>
      <x:c r="L8" s="24" t="n">
        <x:f>IF(SUM(K$6:K$15)&gt;0,MIN(MAX(0,I8-(0)),MAX(0,'Расчет'!B17-(0))*K8/SUM(K$6:K$15)),0)</x:f>
        <x:v>72.42552415272533</x:v>
      </x:c>
      <x:c r="M8" s="20" t="n">
        <x:f>IF(I8-(L8)&gt;0.000000001,J8,0)</x:f>
        <x:v>0.3111</x:v>
      </x:c>
      <x:c r="N8" s="24" t="n">
        <x:f>IF(SUM(M$6:M$15)&gt;0,MIN(MAX(0,I8-(L8)),MAX(0,'Расчет'!B17-(SUM(L6:L15)))*M8/SUM(M$6:M$15)),0)</x:f>
        <x:v>0</x:v>
      </x:c>
      <x:c r="O8" s="20" t="n">
        <x:f>IF(I8-(L8+N8)&gt;0.000000001,J8,0)</x:f>
        <x:v>0.3111</x:v>
      </x:c>
      <x:c r="P8" s="24" t="n">
        <x:f>IF(SUM(O$6:O$15)&gt;0,MIN(MAX(0,I8-(L8+N8)),MAX(0,'Расчет'!B17-(SUM(L6:L15)+SUM(N6:N15)))*O8/SUM(O$6:O$15)),0)</x:f>
        <x:v>0</x:v>
      </x:c>
      <x:c r="Q8" s="20" t="n">
        <x:f>IF(I8-(L8+N8+P8)&gt;0.000000001,J8,0)</x:f>
        <x:v>0.3111</x:v>
      </x:c>
      <x:c r="R8" s="24" t="n">
        <x:f>IF(SUM(Q$6:Q$15)&gt;0,MIN(MAX(0,I8-(L8+N8+P8)),MAX(0,'Расчет'!B17-(SUM(L6:L15)+SUM(N6:N15)+SUM(P6:P15)))*Q8/SUM(Q$6:Q$15)),0)</x:f>
        <x:v>0</x:v>
      </x:c>
      <x:c r="S8" s="20" t="n">
        <x:f>IF(I8-(L8+N8+P8+R8)&gt;0.000000001,J8,0)</x:f>
        <x:v>0.3111</x:v>
      </x:c>
      <x:c r="T8" s="24" t="n">
        <x:f>IF(SUM(S$6:S$15)&gt;0,MIN(MAX(0,I8-(L8+N8+P8+R8)),MAX(0,'Расчет'!B17-(SUM(L6:L15)+SUM(N6:N15)+SUM(P6:P15)+SUM(R6:R15)))*S8/SUM(S$6:S$15)),0)</x:f>
        <x:v>0</x:v>
      </x:c>
      <x:c r="U8" s="20" t="n">
        <x:f>SUM(L8,N8,P8,R8,T8)</x:f>
        <x:v>72.42552415272533</x:v>
      </x:c>
      <x:c r="V8" s="20" t="n">
        <x:f>0</x:f>
        <x:v>0</x:v>
      </x:c>
      <x:c r="W8" s="20" t="n">
        <x:f>0</x:f>
        <x:v>0</x:v>
      </x:c>
      <x:c r="X8" s="20" t="n">
        <x:f>G8</x:f>
        <x:v>1608.383454319883</x:v>
      </x:c>
      <x:c r="Y8" s="20" t="n">
        <x:f>H8+U8</x:f>
        <x:v>731.7980941527254</x:v>
      </x:c>
      <x:c r="Z8" s="20" t="n">
        <x:f>G8-V8</x:f>
        <x:v>1608.383454319883</x:v>
      </x:c>
      <x:c r="AA8" s="20" t="n">
        <x:f>Y8-W8</x:f>
        <x:v>731.7980941527254</x:v>
      </x:c>
      <x:c r="AB8" s="20" t="n">
        <x:f>Z8-AA8</x:f>
        <x:v>876.5853601671575</x:v>
      </x:c>
    </x:row>
    <x:row r="9" ht="21" customHeight="1">
      <x:c r="A9" s="2" t="str">
        <x:v>Эконом/комфорт</x:v>
      </x:c>
      <x:c r="B9" s="12" t="n">
        <x:v>2026</x:v>
      </x:c>
      <x:c r="C9" s="12" t="n">
        <x:v>2029</x:v>
      </x:c>
      <x:c r="D9" s="24" t="n">
        <x:f>'Данные'!C9</x:f>
        <x:v>479.97763</x:v>
      </x:c>
      <x:c r="E9" s="24" t="n">
        <x:f>'Данные'!D9</x:f>
        <x:v>106.12064</x:v>
      </x:c>
      <x:c r="F9" s="24" t="n">
        <x:f>'Расчет'!B8*'Допущения'!E24</x:f>
        <x:v>74.91622659538855</x:v>
      </x:c>
      <x:c r="G9" s="20" t="n">
        <x:f>D9+F9</x:f>
        <x:v>554.8938565953886</x:v>
      </x:c>
      <x:c r="H9" s="20" t="n">
        <x:f>E9</x:f>
        <x:v>106.12064</x:v>
      </x:c>
      <x:c r="I9" s="20" t="n">
        <x:f>MAX(0,G9-H9)</x:f>
        <x:v>448.7732165953886</x:v>
      </x:c>
      <x:c r="J9" s="38" t="n">
        <x:f>'Допущения'!E30</x:f>
        <x:v>0.1495</x:v>
      </x:c>
      <x:c r="K9" s="39" t="n">
        <x:f>IF(I9-(0)&gt;0.000000001,J9,0)</x:f>
        <x:v>0.1495</x:v>
      </x:c>
      <x:c r="L9" s="24" t="n">
        <x:f>IF(SUM(K$6:K$15)&gt;0,MIN(MAX(0,I9-(0)),MAX(0,'Расчет'!B17-(0))*K9/SUM(K$6:K$15)),0)</x:f>
        <x:v>34.80429399174682</x:v>
      </x:c>
      <x:c r="M9" s="20" t="n">
        <x:f>IF(I9-(L9)&gt;0.000000001,J9,0)</x:f>
        <x:v>0.1495</x:v>
      </x:c>
      <x:c r="N9" s="24" t="n">
        <x:f>IF(SUM(M$6:M$15)&gt;0,MIN(MAX(0,I9-(L9)),MAX(0,'Расчет'!B17-(SUM(L6:L15)))*M9/SUM(M$6:M$15)),0)</x:f>
        <x:v>0</x:v>
      </x:c>
      <x:c r="O9" s="20" t="n">
        <x:f>IF(I9-(L9+N9)&gt;0.000000001,J9,0)</x:f>
        <x:v>0.1495</x:v>
      </x:c>
      <x:c r="P9" s="24" t="n">
        <x:f>IF(SUM(O$6:O$15)&gt;0,MIN(MAX(0,I9-(L9+N9)),MAX(0,'Расчет'!B17-(SUM(L6:L15)+SUM(N6:N15)))*O9/SUM(O$6:O$15)),0)</x:f>
        <x:v>0</x:v>
      </x:c>
      <x:c r="Q9" s="20" t="n">
        <x:f>IF(I9-(L9+N9+P9)&gt;0.000000001,J9,0)</x:f>
        <x:v>0.1495</x:v>
      </x:c>
      <x:c r="R9" s="24" t="n">
        <x:f>IF(SUM(Q$6:Q$15)&gt;0,MIN(MAX(0,I9-(L9+N9+P9)),MAX(0,'Расчет'!B17-(SUM(L6:L15)+SUM(N6:N15)+SUM(P6:P15)))*Q9/SUM(Q$6:Q$15)),0)</x:f>
        <x:v>0</x:v>
      </x:c>
      <x:c r="S9" s="20" t="n">
        <x:f>IF(I9-(L9+N9+P9+R9)&gt;0.000000001,J9,0)</x:f>
        <x:v>0.1495</x:v>
      </x:c>
      <x:c r="T9" s="24" t="n">
        <x:f>IF(SUM(S$6:S$15)&gt;0,MIN(MAX(0,I9-(L9+N9+P9+R9)),MAX(0,'Расчет'!B17-(SUM(L6:L15)+SUM(N6:N15)+SUM(P6:P15)+SUM(R6:R15)))*S9/SUM(S$6:S$15)),0)</x:f>
        <x:v>0</x:v>
      </x:c>
      <x:c r="U9" s="20" t="n">
        <x:f>SUM(L9,N9,P9,R9,T9)</x:f>
        <x:v>34.80429399174682</x:v>
      </x:c>
      <x:c r="V9" s="20" t="n">
        <x:f>0</x:f>
        <x:v>0</x:v>
      </x:c>
      <x:c r="W9" s="20" t="n">
        <x:f>0</x:f>
        <x:v>0</x:v>
      </x:c>
      <x:c r="X9" s="20" t="n">
        <x:f>G9</x:f>
        <x:v>554.8938565953886</x:v>
      </x:c>
      <x:c r="Y9" s="20" t="n">
        <x:f>H9+U9</x:f>
        <x:v>140.9249339917468</x:v>
      </x:c>
      <x:c r="Z9" s="20" t="n">
        <x:f>G9-V9</x:f>
        <x:v>554.8938565953886</x:v>
      </x:c>
      <x:c r="AA9" s="20" t="n">
        <x:f>Y9-W9</x:f>
        <x:v>140.9249339917468</x:v>
      </x:c>
      <x:c r="AB9" s="20" t="n">
        <x:f>Z9-AA9</x:f>
        <x:v>413.9689226036418</x:v>
      </x:c>
    </x:row>
    <x:row r="10" ht="21" customHeight="1">
      <x:c r="A10" s="2" t="str">
        <x:v>Эконом/комфорт</x:v>
      </x:c>
      <x:c r="B10" s="12" t="n">
        <x:v>2026</x:v>
      </x:c>
      <x:c r="C10" s="12" t="n">
        <x:v>2030</x:v>
      </x:c>
      <x:c r="D10" s="24" t="n">
        <x:f>'Данные'!C10</x:f>
        <x:v>65.0329</x:v>
      </x:c>
      <x:c r="E10" s="24" t="n">
        <x:f>'Данные'!D10</x:f>
        <x:v>0.0585</x:v>
      </x:c>
      <x:c r="F10" s="24" t="n">
        <x:f>'Расчет'!B8*'Допущения'!F24</x:f>
        <x:v>13.161555131789978</x:v>
      </x:c>
      <x:c r="G10" s="20" t="n">
        <x:f>D10+F10</x:f>
        <x:v>78.19445513178998</x:v>
      </x:c>
      <x:c r="H10" s="20" t="n">
        <x:f>E10</x:f>
        <x:v>0.0585</x:v>
      </x:c>
      <x:c r="I10" s="20" t="n">
        <x:f>MAX(0,G10-H10)</x:f>
        <x:v>78.13595513178998</x:v>
      </x:c>
      <x:c r="J10" s="38" t="n">
        <x:f>'Допущения'!F30</x:f>
        <x:v>0.0425</x:v>
      </x:c>
      <x:c r="K10" s="39" t="n">
        <x:f>IF(I10-(0)&gt;0.000000001,J10,0)</x:f>
        <x:v>0.0425</x:v>
      </x:c>
      <x:c r="L10" s="24" t="n">
        <x:f>IF(SUM(K$6:K$15)&gt;0,MIN(MAX(0,I10-(0)),MAX(0,'Расчет'!B17-(0))*K10/SUM(K$6:K$15)),0)</x:f>
        <x:v>9.89419728862368</x:v>
      </x:c>
      <x:c r="M10" s="20" t="n">
        <x:f>IF(I10-(L10)&gt;0.000000001,J10,0)</x:f>
        <x:v>0.0425</x:v>
      </x:c>
      <x:c r="N10" s="24" t="n">
        <x:f>IF(SUM(M$6:M$15)&gt;0,MIN(MAX(0,I10-(L10)),MAX(0,'Расчет'!B17-(SUM(L6:L15)))*M10/SUM(M$6:M$15)),0)</x:f>
        <x:v>0</x:v>
      </x:c>
      <x:c r="O10" s="20" t="n">
        <x:f>IF(I10-(L10+N10)&gt;0.000000001,J10,0)</x:f>
        <x:v>0.0425</x:v>
      </x:c>
      <x:c r="P10" s="24" t="n">
        <x:f>IF(SUM(O$6:O$15)&gt;0,MIN(MAX(0,I10-(L10+N10)),MAX(0,'Расчет'!B17-(SUM(L6:L15)+SUM(N6:N15)))*O10/SUM(O$6:O$15)),0)</x:f>
        <x:v>0</x:v>
      </x:c>
      <x:c r="Q10" s="20" t="n">
        <x:f>IF(I10-(L10+N10+P10)&gt;0.000000001,J10,0)</x:f>
        <x:v>0.0425</x:v>
      </x:c>
      <x:c r="R10" s="24" t="n">
        <x:f>IF(SUM(Q$6:Q$15)&gt;0,MIN(MAX(0,I10-(L10+N10+P10)),MAX(0,'Расчет'!B17-(SUM(L6:L15)+SUM(N6:N15)+SUM(P6:P15)))*Q10/SUM(Q$6:Q$15)),0)</x:f>
        <x:v>0</x:v>
      </x:c>
      <x:c r="S10" s="20" t="n">
        <x:f>IF(I10-(L10+N10+P10+R10)&gt;0.000000001,J10,0)</x:f>
        <x:v>0.0425</x:v>
      </x:c>
      <x:c r="T10" s="24" t="n">
        <x:f>IF(SUM(S$6:S$15)&gt;0,MIN(MAX(0,I10-(L10+N10+P10+R10)),MAX(0,'Расчет'!B17-(SUM(L6:L15)+SUM(N6:N15)+SUM(P6:P15)+SUM(R6:R15)))*S10/SUM(S$6:S$15)),0)</x:f>
        <x:v>0</x:v>
      </x:c>
      <x:c r="U10" s="20" t="n">
        <x:f>SUM(L10,N10,P10,R10,T10)</x:f>
        <x:v>9.89419728862368</x:v>
      </x:c>
      <x:c r="V10" s="20" t="n">
        <x:f>0</x:f>
        <x:v>0</x:v>
      </x:c>
      <x:c r="W10" s="20" t="n">
        <x:f>0</x:f>
        <x:v>0</x:v>
      </x:c>
      <x:c r="X10" s="20" t="n">
        <x:f>G10</x:f>
        <x:v>78.19445513178998</x:v>
      </x:c>
      <x:c r="Y10" s="20" t="n">
        <x:f>H10+U10</x:f>
        <x:v>9.95269728862368</x:v>
      </x:c>
      <x:c r="Z10" s="20" t="n">
        <x:f>G10-V10</x:f>
        <x:v>78.19445513178998</x:v>
      </x:c>
      <x:c r="AA10" s="20" t="n">
        <x:f>Y10-W10</x:f>
        <x:v>9.95269728862368</x:v>
      </x:c>
      <x:c r="AB10" s="20" t="n">
        <x:f>Z10-AA10</x:f>
        <x:v>68.2417578431663</x:v>
      </x:c>
    </x:row>
    <x:row r="11" ht="21" customHeight="1">
      <x:c r="A11" s="2" t="str">
        <x:v>Эконом/комфорт</x:v>
      </x:c>
      <x:c r="B11" s="12" t="n">
        <x:v>2026</x:v>
      </x:c>
      <x:c r="C11" s="12" t="n">
        <x:v>2031</x:v>
      </x:c>
      <x:c r="D11" s="24" t="n">
        <x:f>'Данные'!C11</x:f>
        <x:v>0</x:v>
      </x:c>
      <x:c r="E11" s="24" t="n">
        <x:f>'Данные'!D11</x:f>
        <x:v>0</x:v>
      </x:c>
      <x:c r="F11" s="24" t="n">
        <x:f>'Расчет'!B8*'Допущения'!G24</x:f>
        <x:v>2.64098130033296</x:v>
      </x:c>
      <x:c r="G11" s="20" t="n">
        <x:f>D11+F11</x:f>
        <x:v>2.64098130033296</x:v>
      </x:c>
      <x:c r="H11" s="20" t="n">
        <x:f>E11</x:f>
        <x:v>0</x:v>
      </x:c>
      <x:c r="I11" s="20" t="n">
        <x:f>MAX(0,G11-H11)</x:f>
        <x:v>2.64098130033296</x:v>
      </x:c>
      <x:c r="J11" s="39" t="n">
        <x:f>0</x:f>
        <x:v>0</x:v>
      </x:c>
      <x:c r="K11" s="39" t="n">
        <x:f>IF(I11-(0)&gt;0.000000001,J11,0)</x:f>
        <x:v>0</x:v>
      </x:c>
      <x:c r="L11" s="24" t="n">
        <x:f>IF(SUM(K$6:K$15)&gt;0,MIN(MAX(0,I11-(0)),MAX(0,'Расчет'!B17-(0))*K11/SUM(K$6:K$15)),0)</x:f>
        <x:v>0</x:v>
      </x:c>
      <x:c r="M11" s="20" t="n">
        <x:f>IF(I11-(L11)&gt;0.000000001,J11,0)</x:f>
        <x:v>0</x:v>
      </x:c>
      <x:c r="N11" s="24" t="n">
        <x:f>IF(SUM(M$6:M$15)&gt;0,MIN(MAX(0,I11-(L11)),MAX(0,'Расчет'!B17-(SUM(L6:L15)))*M11/SUM(M$6:M$15)),0)</x:f>
        <x:v>0</x:v>
      </x:c>
      <x:c r="O11" s="20" t="n">
        <x:f>IF(I11-(L11+N11)&gt;0.000000001,J11,0)</x:f>
        <x:v>0</x:v>
      </x:c>
      <x:c r="P11" s="24" t="n">
        <x:f>IF(SUM(O$6:O$15)&gt;0,MIN(MAX(0,I11-(L11+N11)),MAX(0,'Расчет'!B17-(SUM(L6:L15)+SUM(N6:N15)))*O11/SUM(O$6:O$15)),0)</x:f>
        <x:v>0</x:v>
      </x:c>
      <x:c r="Q11" s="20" t="n">
        <x:f>IF(I11-(L11+N11+P11)&gt;0.000000001,J11,0)</x:f>
        <x:v>0</x:v>
      </x:c>
      <x:c r="R11" s="24" t="n">
        <x:f>IF(SUM(Q$6:Q$15)&gt;0,MIN(MAX(0,I11-(L11+N11+P11)),MAX(0,'Расчет'!B17-(SUM(L6:L15)+SUM(N6:N15)+SUM(P6:P15)))*Q11/SUM(Q$6:Q$15)),0)</x:f>
        <x:v>0</x:v>
      </x:c>
      <x:c r="S11" s="20" t="n">
        <x:f>IF(I11-(L11+N11+P11+R11)&gt;0.000000001,J11,0)</x:f>
        <x:v>0</x:v>
      </x:c>
      <x:c r="T11" s="24" t="n">
        <x:f>IF(SUM(S$6:S$15)&gt;0,MIN(MAX(0,I11-(L11+N11+P11+R11)),MAX(0,'Расчет'!B17-(SUM(L6:L15)+SUM(N6:N15)+SUM(P6:P15)+SUM(R6:R15)))*S11/SUM(S$6:S$15)),0)</x:f>
        <x:v>0</x:v>
      </x:c>
      <x:c r="U11" s="20" t="n">
        <x:f>SUM(L11,N11,P11,R11,T11)</x:f>
        <x:v>0</x:v>
      </x:c>
      <x:c r="V11" s="20" t="n">
        <x:f>0</x:f>
        <x:v>0</x:v>
      </x:c>
      <x:c r="W11" s="20" t="n">
        <x:f>0</x:f>
        <x:v>0</x:v>
      </x:c>
      <x:c r="X11" s="20" t="n">
        <x:f>G11</x:f>
        <x:v>2.64098130033296</x:v>
      </x:c>
      <x:c r="Y11" s="20" t="n">
        <x:f>H11+U11</x:f>
        <x:v>0</x:v>
      </x:c>
      <x:c r="Z11" s="20" t="n">
        <x:f>G11-V11</x:f>
        <x:v>2.64098130033296</x:v>
      </x:c>
      <x:c r="AA11" s="20" t="n">
        <x:f>Y11-W11</x:f>
        <x:v>0</x:v>
      </x:c>
      <x:c r="AB11" s="20" t="n">
        <x:f>Z11-AA11</x:f>
        <x:v>2.64098130033296</x:v>
      </x:c>
    </x:row>
    <x:row r="12" ht="21" customHeight="1">
      <x:c r="A12" s="2" t="str">
        <x:v>Эконом/комфорт</x:v>
      </x:c>
      <x:c r="B12" s="12" t="n">
        <x:v>2026</x:v>
      </x:c>
      <x:c r="C12" s="12" t="n">
        <x:v>2032</x:v>
      </x:c>
      <x:c r="D12" s="24" t="n">
        <x:f>'Данные'!C12</x:f>
        <x:v>0</x:v>
      </x:c>
      <x:c r="E12" s="24" t="n">
        <x:f>'Данные'!D12</x:f>
        <x:v>0</x:v>
      </x:c>
      <x:c r="F12" s="20" t="n">
        <x:f>0</x:f>
        <x:v>0</x:v>
      </x:c>
      <x:c r="G12" s="20" t="n">
        <x:f>D12+F12</x:f>
        <x:v>0</x:v>
      </x:c>
      <x:c r="H12" s="20" t="n">
        <x:f>E12</x:f>
        <x:v>0</x:v>
      </x:c>
      <x:c r="I12" s="20" t="n">
        <x:f>MAX(0,G12-H12)</x:f>
        <x:v>0</x:v>
      </x:c>
      <x:c r="J12" s="39" t="n">
        <x:f>0</x:f>
        <x:v>0</x:v>
      </x:c>
      <x:c r="K12" s="39" t="n">
        <x:f>IF(I12-(0)&gt;0.000000001,J12,0)</x:f>
        <x:v>0</x:v>
      </x:c>
      <x:c r="L12" s="24" t="n">
        <x:f>IF(SUM(K$6:K$15)&gt;0,MIN(MAX(0,I12-(0)),MAX(0,'Расчет'!B17-(0))*K12/SUM(K$6:K$15)),0)</x:f>
        <x:v>0</x:v>
      </x:c>
      <x:c r="M12" s="20" t="n">
        <x:f>IF(I12-(L12)&gt;0.000000001,J12,0)</x:f>
        <x:v>0</x:v>
      </x:c>
      <x:c r="N12" s="24" t="n">
        <x:f>IF(SUM(M$6:M$15)&gt;0,MIN(MAX(0,I12-(L12)),MAX(0,'Расчет'!B17-(SUM(L6:L15)))*M12/SUM(M$6:M$15)),0)</x:f>
        <x:v>0</x:v>
      </x:c>
      <x:c r="O12" s="20" t="n">
        <x:f>IF(I12-(L12+N12)&gt;0.000000001,J12,0)</x:f>
        <x:v>0</x:v>
      </x:c>
      <x:c r="P12" s="24" t="n">
        <x:f>IF(SUM(O$6:O$15)&gt;0,MIN(MAX(0,I12-(L12+N12)),MAX(0,'Расчет'!B17-(SUM(L6:L15)+SUM(N6:N15)))*O12/SUM(O$6:O$15)),0)</x:f>
        <x:v>0</x:v>
      </x:c>
      <x:c r="Q12" s="20" t="n">
        <x:f>IF(I12-(L12+N12+P12)&gt;0.000000001,J12,0)</x:f>
        <x:v>0</x:v>
      </x:c>
      <x:c r="R12" s="24" t="n">
        <x:f>IF(SUM(Q$6:Q$15)&gt;0,MIN(MAX(0,I12-(L12+N12+P12)),MAX(0,'Расчет'!B17-(SUM(L6:L15)+SUM(N6:N15)+SUM(P6:P15)))*Q12/SUM(Q$6:Q$15)),0)</x:f>
        <x:v>0</x:v>
      </x:c>
      <x:c r="S12" s="20" t="n">
        <x:f>IF(I12-(L12+N12+P12+R12)&gt;0.000000001,J12,0)</x:f>
        <x:v>0</x:v>
      </x:c>
      <x:c r="T12" s="24" t="n">
        <x:f>IF(SUM(S$6:S$15)&gt;0,MIN(MAX(0,I12-(L12+N12+P12+R12)),MAX(0,'Расчет'!B17-(SUM(L6:L15)+SUM(N6:N15)+SUM(P6:P15)+SUM(R6:R15)))*S12/SUM(S$6:S$15)),0)</x:f>
        <x:v>0</x:v>
      </x:c>
      <x:c r="U12" s="20" t="n">
        <x:f>SUM(L12,N12,P12,R12,T12)</x:f>
        <x:v>0</x:v>
      </x:c>
      <x:c r="V12" s="20" t="n">
        <x:f>0</x:f>
        <x:v>0</x:v>
      </x:c>
      <x:c r="W12" s="20" t="n">
        <x:f>0</x:f>
        <x:v>0</x:v>
      </x:c>
      <x:c r="X12" s="20" t="n">
        <x:f>G12</x:f>
        <x:v>0</x:v>
      </x:c>
      <x:c r="Y12" s="20" t="n">
        <x:f>H12+U12</x:f>
        <x:v>0</x:v>
      </x:c>
      <x:c r="Z12" s="20" t="n">
        <x:f>G12-V12</x:f>
        <x:v>0</x:v>
      </x:c>
      <x:c r="AA12" s="20" t="n">
        <x:f>Y12-W12</x:f>
        <x:v>0</x:v>
      </x:c>
      <x:c r="AB12" s="20" t="n">
        <x:f>Z12-AA12</x:f>
        <x:v>0</x:v>
      </x:c>
    </x:row>
    <x:row r="13" ht="21" customHeight="1">
      <x:c r="A13" s="2" t="str">
        <x:v>Эконом/комфорт</x:v>
      </x:c>
      <x:c r="B13" s="12" t="n">
        <x:v>2026</x:v>
      </x:c>
      <x:c r="C13" s="12" t="n">
        <x:v>2033</x:v>
      </x:c>
      <x:c r="D13" s="24" t="n">
        <x:f>'Данные'!C13</x:f>
        <x:v>0</x:v>
      </x:c>
      <x:c r="E13" s="24" t="n">
        <x:f>'Данные'!D13</x:f>
        <x:v>0</x:v>
      </x:c>
      <x:c r="F13" s="20" t="n">
        <x:f>0</x:f>
        <x:v>0</x:v>
      </x:c>
      <x:c r="G13" s="20" t="n">
        <x:f>D13+F13</x:f>
        <x:v>0</x:v>
      </x:c>
      <x:c r="H13" s="20" t="n">
        <x:f>E13</x:f>
        <x:v>0</x:v>
      </x:c>
      <x:c r="I13" s="20" t="n">
        <x:f>MAX(0,G13-H13)</x:f>
        <x:v>0</x:v>
      </x:c>
      <x:c r="J13" s="39" t="n">
        <x:f>0</x:f>
        <x:v>0</x:v>
      </x:c>
      <x:c r="K13" s="39" t="n">
        <x:f>IF(I13-(0)&gt;0.000000001,J13,0)</x:f>
        <x:v>0</x:v>
      </x:c>
      <x:c r="L13" s="24" t="n">
        <x:f>IF(SUM(K$6:K$15)&gt;0,MIN(MAX(0,I13-(0)),MAX(0,'Расчет'!B17-(0))*K13/SUM(K$6:K$15)),0)</x:f>
        <x:v>0</x:v>
      </x:c>
      <x:c r="M13" s="20" t="n">
        <x:f>IF(I13-(L13)&gt;0.000000001,J13,0)</x:f>
        <x:v>0</x:v>
      </x:c>
      <x:c r="N13" s="24" t="n">
        <x:f>IF(SUM(M$6:M$15)&gt;0,MIN(MAX(0,I13-(L13)),MAX(0,'Расчет'!B17-(SUM(L6:L15)))*M13/SUM(M$6:M$15)),0)</x:f>
        <x:v>0</x:v>
      </x:c>
      <x:c r="O13" s="20" t="n">
        <x:f>IF(I13-(L13+N13)&gt;0.000000001,J13,0)</x:f>
        <x:v>0</x:v>
      </x:c>
      <x:c r="P13" s="24" t="n">
        <x:f>IF(SUM(O$6:O$15)&gt;0,MIN(MAX(0,I13-(L13+N13)),MAX(0,'Расчет'!B17-(SUM(L6:L15)+SUM(N6:N15)))*O13/SUM(O$6:O$15)),0)</x:f>
        <x:v>0</x:v>
      </x:c>
      <x:c r="Q13" s="20" t="n">
        <x:f>IF(I13-(L13+N13+P13)&gt;0.000000001,J13,0)</x:f>
        <x:v>0</x:v>
      </x:c>
      <x:c r="R13" s="24" t="n">
        <x:f>IF(SUM(Q$6:Q$15)&gt;0,MIN(MAX(0,I13-(L13+N13+P13)),MAX(0,'Расчет'!B17-(SUM(L6:L15)+SUM(N6:N15)+SUM(P6:P15)))*Q13/SUM(Q$6:Q$15)),0)</x:f>
        <x:v>0</x:v>
      </x:c>
      <x:c r="S13" s="20" t="n">
        <x:f>IF(I13-(L13+N13+P13+R13)&gt;0.000000001,J13,0)</x:f>
        <x:v>0</x:v>
      </x:c>
      <x:c r="T13" s="24" t="n">
        <x:f>IF(SUM(S$6:S$15)&gt;0,MIN(MAX(0,I13-(L13+N13+P13+R13)),MAX(0,'Расчет'!B17-(SUM(L6:L15)+SUM(N6:N15)+SUM(P6:P15)+SUM(R6:R15)))*S13/SUM(S$6:S$15)),0)</x:f>
        <x:v>0</x:v>
      </x:c>
      <x:c r="U13" s="20" t="n">
        <x:f>SUM(L13,N13,P13,R13,T13)</x:f>
        <x:v>0</x:v>
      </x:c>
      <x:c r="V13" s="20" t="n">
        <x:f>0</x:f>
        <x:v>0</x:v>
      </x:c>
      <x:c r="W13" s="20" t="n">
        <x:f>0</x:f>
        <x:v>0</x:v>
      </x:c>
      <x:c r="X13" s="20" t="n">
        <x:f>G13</x:f>
        <x:v>0</x:v>
      </x:c>
      <x:c r="Y13" s="20" t="n">
        <x:f>H13+U13</x:f>
        <x:v>0</x:v>
      </x:c>
      <x:c r="Z13" s="20" t="n">
        <x:f>G13-V13</x:f>
        <x:v>0</x:v>
      </x:c>
      <x:c r="AA13" s="20" t="n">
        <x:f>Y13-W13</x:f>
        <x:v>0</x:v>
      </x:c>
      <x:c r="AB13" s="20" t="n">
        <x:f>Z13-AA13</x:f>
        <x:v>0</x:v>
      </x:c>
    </x:row>
    <x:row r="14" ht="21" customHeight="1">
      <x:c r="A14" s="2" t="str">
        <x:v>Эконом/комфорт</x:v>
      </x:c>
      <x:c r="B14" s="12" t="n">
        <x:v>2026</x:v>
      </x:c>
      <x:c r="C14" s="12" t="n">
        <x:v>2034</x:v>
      </x:c>
      <x:c r="D14" s="24" t="n">
        <x:f>'Данные'!C14</x:f>
        <x:v>0</x:v>
      </x:c>
      <x:c r="E14" s="24" t="n">
        <x:f>'Данные'!D14</x:f>
        <x:v>0</x:v>
      </x:c>
      <x:c r="F14" s="20" t="n">
        <x:f>0</x:f>
        <x:v>0</x:v>
      </x:c>
      <x:c r="G14" s="20" t="n">
        <x:f>D14+F14</x:f>
        <x:v>0</x:v>
      </x:c>
      <x:c r="H14" s="20" t="n">
        <x:f>E14</x:f>
        <x:v>0</x:v>
      </x:c>
      <x:c r="I14" s="20" t="n">
        <x:f>MAX(0,G14-H14)</x:f>
        <x:v>0</x:v>
      </x:c>
      <x:c r="J14" s="39" t="n">
        <x:f>0</x:f>
        <x:v>0</x:v>
      </x:c>
      <x:c r="K14" s="39" t="n">
        <x:f>IF(I14-(0)&gt;0.000000001,J14,0)</x:f>
        <x:v>0</x:v>
      </x:c>
      <x:c r="L14" s="24" t="n">
        <x:f>IF(SUM(K$6:K$15)&gt;0,MIN(MAX(0,I14-(0)),MAX(0,'Расчет'!B17-(0))*K14/SUM(K$6:K$15)),0)</x:f>
        <x:v>0</x:v>
      </x:c>
      <x:c r="M14" s="20" t="n">
        <x:f>IF(I14-(L14)&gt;0.000000001,J14,0)</x:f>
        <x:v>0</x:v>
      </x:c>
      <x:c r="N14" s="24" t="n">
        <x:f>IF(SUM(M$6:M$15)&gt;0,MIN(MAX(0,I14-(L14)),MAX(0,'Расчет'!B17-(SUM(L6:L15)))*M14/SUM(M$6:M$15)),0)</x:f>
        <x:v>0</x:v>
      </x:c>
      <x:c r="O14" s="20" t="n">
        <x:f>IF(I14-(L14+N14)&gt;0.000000001,J14,0)</x:f>
        <x:v>0</x:v>
      </x:c>
      <x:c r="P14" s="24" t="n">
        <x:f>IF(SUM(O$6:O$15)&gt;0,MIN(MAX(0,I14-(L14+N14)),MAX(0,'Расчет'!B17-(SUM(L6:L15)+SUM(N6:N15)))*O14/SUM(O$6:O$15)),0)</x:f>
        <x:v>0</x:v>
      </x:c>
      <x:c r="Q14" s="20" t="n">
        <x:f>IF(I14-(L14+N14+P14)&gt;0.000000001,J14,0)</x:f>
        <x:v>0</x:v>
      </x:c>
      <x:c r="R14" s="24" t="n">
        <x:f>IF(SUM(Q$6:Q$15)&gt;0,MIN(MAX(0,I14-(L14+N14+P14)),MAX(0,'Расчет'!B17-(SUM(L6:L15)+SUM(N6:N15)+SUM(P6:P15)))*Q14/SUM(Q$6:Q$15)),0)</x:f>
        <x:v>0</x:v>
      </x:c>
      <x:c r="S14" s="20" t="n">
        <x:f>IF(I14-(L14+N14+P14+R14)&gt;0.000000001,J14,0)</x:f>
        <x:v>0</x:v>
      </x:c>
      <x:c r="T14" s="24" t="n">
        <x:f>IF(SUM(S$6:S$15)&gt;0,MIN(MAX(0,I14-(L14+N14+P14+R14)),MAX(0,'Расчет'!B17-(SUM(L6:L15)+SUM(N6:N15)+SUM(P6:P15)+SUM(R6:R15)))*S14/SUM(S$6:S$15)),0)</x:f>
        <x:v>0</x:v>
      </x:c>
      <x:c r="U14" s="20" t="n">
        <x:f>SUM(L14,N14,P14,R14,T14)</x:f>
        <x:v>0</x:v>
      </x:c>
      <x:c r="V14" s="20" t="n">
        <x:f>0</x:f>
        <x:v>0</x:v>
      </x:c>
      <x:c r="W14" s="20" t="n">
        <x:f>0</x:f>
        <x:v>0</x:v>
      </x:c>
      <x:c r="X14" s="20" t="n">
        <x:f>G14</x:f>
        <x:v>0</x:v>
      </x:c>
      <x:c r="Y14" s="20" t="n">
        <x:f>H14+U14</x:f>
        <x:v>0</x:v>
      </x:c>
      <x:c r="Z14" s="20" t="n">
        <x:f>G14-V14</x:f>
        <x:v>0</x:v>
      </x:c>
      <x:c r="AA14" s="20" t="n">
        <x:f>Y14-W14</x:f>
        <x:v>0</x:v>
      </x:c>
      <x:c r="AB14" s="20" t="n">
        <x:f>Z14-AA14</x:f>
        <x:v>0</x:v>
      </x:c>
    </x:row>
    <x:row r="15" ht="21" customHeight="1">
      <x:c r="A15" s="2" t="str">
        <x:v>Эконом/комфорт</x:v>
      </x:c>
      <x:c r="B15" s="12" t="n">
        <x:v>2026</x:v>
      </x:c>
      <x:c r="C15" s="12" t="n">
        <x:v>2035</x:v>
      </x:c>
      <x:c r="D15" s="24" t="n">
        <x:f>'Данные'!C15</x:f>
        <x:v>0</x:v>
      </x:c>
      <x:c r="E15" s="24" t="n">
        <x:f>'Данные'!D15</x:f>
        <x:v>0</x:v>
      </x:c>
      <x:c r="F15" s="20" t="n">
        <x:f>0</x:f>
        <x:v>0</x:v>
      </x:c>
      <x:c r="G15" s="20" t="n">
        <x:f>D15+F15</x:f>
        <x:v>0</x:v>
      </x:c>
      <x:c r="H15" s="20" t="n">
        <x:f>E15</x:f>
        <x:v>0</x:v>
      </x:c>
      <x:c r="I15" s="20" t="n">
        <x:f>MAX(0,G15-H15)</x:f>
        <x:v>0</x:v>
      </x:c>
      <x:c r="J15" s="39" t="n">
        <x:f>0</x:f>
        <x:v>0</x:v>
      </x:c>
      <x:c r="K15" s="39" t="n">
        <x:f>IF(I15-(0)&gt;0.000000001,J15,0)</x:f>
        <x:v>0</x:v>
      </x:c>
      <x:c r="L15" s="24" t="n">
        <x:f>IF(SUM(K$6:K$15)&gt;0,MIN(MAX(0,I15-(0)),MAX(0,'Расчет'!B17-(0))*K15/SUM(K$6:K$15)),0)</x:f>
        <x:v>0</x:v>
      </x:c>
      <x:c r="M15" s="20" t="n">
        <x:f>IF(I15-(L15)&gt;0.000000001,J15,0)</x:f>
        <x:v>0</x:v>
      </x:c>
      <x:c r="N15" s="24" t="n">
        <x:f>IF(SUM(M$6:M$15)&gt;0,MIN(MAX(0,I15-(L15)),MAX(0,'Расчет'!B17-(SUM(L6:L15)))*M15/SUM(M$6:M$15)),0)</x:f>
        <x:v>0</x:v>
      </x:c>
      <x:c r="O15" s="20" t="n">
        <x:f>IF(I15-(L15+N15)&gt;0.000000001,J15,0)</x:f>
        <x:v>0</x:v>
      </x:c>
      <x:c r="P15" s="24" t="n">
        <x:f>IF(SUM(O$6:O$15)&gt;0,MIN(MAX(0,I15-(L15+N15)),MAX(0,'Расчет'!B17-(SUM(L6:L15)+SUM(N6:N15)))*O15/SUM(O$6:O$15)),0)</x:f>
        <x:v>0</x:v>
      </x:c>
      <x:c r="Q15" s="20" t="n">
        <x:f>IF(I15-(L15+N15+P15)&gt;0.000000001,J15,0)</x:f>
        <x:v>0</x:v>
      </x:c>
      <x:c r="R15" s="24" t="n">
        <x:f>IF(SUM(Q$6:Q$15)&gt;0,MIN(MAX(0,I15-(L15+N15+P15)),MAX(0,'Расчет'!B17-(SUM(L6:L15)+SUM(N6:N15)+SUM(P6:P15)))*Q15/SUM(Q$6:Q$15)),0)</x:f>
        <x:v>0</x:v>
      </x:c>
      <x:c r="S15" s="20" t="n">
        <x:f>IF(I15-(L15+N15+P15+R15)&gt;0.000000001,J15,0)</x:f>
        <x:v>0</x:v>
      </x:c>
      <x:c r="T15" s="24" t="n">
        <x:f>IF(SUM(S$6:S$15)&gt;0,MIN(MAX(0,I15-(L15+N15+P15+R15)),MAX(0,'Расчет'!B17-(SUM(L6:L15)+SUM(N6:N15)+SUM(P6:P15)+SUM(R6:R15)))*S15/SUM(S$6:S$15)),0)</x:f>
        <x:v>0</x:v>
      </x:c>
      <x:c r="U15" s="20" t="n">
        <x:f>SUM(L15,N15,P15,R15,T15)</x:f>
        <x:v>0</x:v>
      </x:c>
      <x:c r="V15" s="20" t="n">
        <x:f>0</x:f>
        <x:v>0</x:v>
      </x:c>
      <x:c r="W15" s="20" t="n">
        <x:f>0</x:f>
        <x:v>0</x:v>
      </x:c>
      <x:c r="X15" s="20" t="n">
        <x:f>G15</x:f>
        <x:v>0</x:v>
      </x:c>
      <x:c r="Y15" s="20" t="n">
        <x:f>H15+U15</x:f>
        <x:v>0</x:v>
      </x:c>
      <x:c r="Z15" s="20" t="n">
        <x:f>G15-V15</x:f>
        <x:v>0</x:v>
      </x:c>
      <x:c r="AA15" s="20" t="n">
        <x:f>Y15-W15</x:f>
        <x:v>0</x:v>
      </x:c>
      <x:c r="AB15" s="20" t="n">
        <x:f>Z15-AA15</x:f>
        <x:v>0</x:v>
      </x:c>
    </x:row>
    <x:row r="16" ht="21" customHeight="1">
      <x:c r="A16" s="2" t="str">
        <x:v>Эконом/комфорт</x:v>
      </x:c>
      <x:c r="B16" s="12" t="n">
        <x:v>2027</x:v>
      </x:c>
      <x:c r="C16" s="12" t="n">
        <x:v>2026</x:v>
      </x:c>
      <x:c r="D16" s="20" t="n">
        <x:f>0</x:f>
        <x:v>0</x:v>
      </x:c>
      <x:c r="E16" s="20" t="n">
        <x:f>0</x:f>
        <x:v>0</x:v>
      </x:c>
      <x:c r="F16" s="20" t="n">
        <x:f>0</x:f>
        <x:v>0</x:v>
      </x:c>
      <x:c r="G16" s="20" t="n">
        <x:f>D16+F16</x:f>
        <x:v>0</x:v>
      </x:c>
      <x:c r="H16" s="20" t="n">
        <x:f>E16</x:f>
        <x:v>0</x:v>
      </x:c>
      <x:c r="I16" s="20" t="n">
        <x:f>MAX(0,G16-H16)</x:f>
        <x:v>0</x:v>
      </x:c>
      <x:c r="J16" s="39" t="n">
        <x:f>0</x:f>
        <x:v>0</x:v>
      </x:c>
      <x:c r="K16" s="39" t="n">
        <x:f>IF(I16-(0)&gt;0.000000001,J16,0)</x:f>
        <x:v>0</x:v>
      </x:c>
      <x:c r="L16" s="24" t="n">
        <x:f>IF(SUM(K$16:K$25)&gt;0,MIN(MAX(0,I16-(0)),MAX(0,'Расчет'!C17-(0))*K16/SUM(K$16:K$25)),0)</x:f>
        <x:v>0</x:v>
      </x:c>
      <x:c r="M16" s="20" t="n">
        <x:f>IF(I16-(L16)&gt;0.000000001,J16,0)</x:f>
        <x:v>0</x:v>
      </x:c>
      <x:c r="N16" s="24" t="n">
        <x:f>IF(SUM(M$16:M$25)&gt;0,MIN(MAX(0,I16-(L16)),MAX(0,'Расчет'!C17-(SUM(L16:L25)))*M16/SUM(M$16:M$25)),0)</x:f>
        <x:v>0</x:v>
      </x:c>
      <x:c r="O16" s="20" t="n">
        <x:f>IF(I16-(L16+N16)&gt;0.000000001,J16,0)</x:f>
        <x:v>0</x:v>
      </x:c>
      <x:c r="P16" s="24" t="n">
        <x:f>IF(SUM(O$16:O$25)&gt;0,MIN(MAX(0,I16-(L16+N16)),MAX(0,'Расчет'!C17-(SUM(L16:L25)+SUM(N16:N25)))*O16/SUM(O$16:O$25)),0)</x:f>
        <x:v>0</x:v>
      </x:c>
      <x:c r="Q16" s="20" t="n">
        <x:f>IF(I16-(L16+N16+P16)&gt;0.000000001,J16,0)</x:f>
        <x:v>0</x:v>
      </x:c>
      <x:c r="R16" s="24" t="n">
        <x:f>IF(SUM(Q$16:Q$25)&gt;0,MIN(MAX(0,I16-(L16+N16+P16)),MAX(0,'Расчет'!C17-(SUM(L16:L25)+SUM(N16:N25)+SUM(P16:P25)))*Q16/SUM(Q$16:Q$25)),0)</x:f>
        <x:v>0</x:v>
      </x:c>
      <x:c r="S16" s="20" t="n">
        <x:f>IF(I16-(L16+N16+P16+R16)&gt;0.000000001,J16,0)</x:f>
        <x:v>0</x:v>
      </x:c>
      <x:c r="T16" s="24" t="n">
        <x:f>IF(SUM(S$16:S$25)&gt;0,MIN(MAX(0,I16-(L16+N16+P16+R16)),MAX(0,'Расчет'!C17-(SUM(L16:L25)+SUM(N16:N25)+SUM(P16:P25)+SUM(R16:R25)))*S16/SUM(S$16:S$25)),0)</x:f>
        <x:v>0</x:v>
      </x:c>
      <x:c r="U16" s="20" t="n">
        <x:f>SUM(L16,N16,P16,R16,T16)</x:f>
        <x:v>0</x:v>
      </x:c>
      <x:c r="V16" s="20" t="n">
        <x:f>0</x:f>
        <x:v>0</x:v>
      </x:c>
      <x:c r="W16" s="20" t="n">
        <x:f>0</x:f>
        <x:v>0</x:v>
      </x:c>
      <x:c r="X16" s="20" t="n">
        <x:f>G16</x:f>
        <x:v>0</x:v>
      </x:c>
      <x:c r="Y16" s="20" t="n">
        <x:f>H16+U16</x:f>
        <x:v>0</x:v>
      </x:c>
      <x:c r="Z16" s="20" t="n">
        <x:f>G16-V16</x:f>
        <x:v>0</x:v>
      </x:c>
      <x:c r="AA16" s="20" t="n">
        <x:f>Y16-W16</x:f>
        <x:v>0</x:v>
      </x:c>
      <x:c r="AB16" s="20" t="n">
        <x:f>Z16-AA16</x:f>
        <x:v>0</x:v>
      </x:c>
    </x:row>
    <x:row r="17" ht="21" customHeight="1">
      <x:c r="A17" s="2" t="str">
        <x:v>Эконом/комфорт</x:v>
      </x:c>
      <x:c r="B17" s="12" t="n">
        <x:v>2027</x:v>
      </x:c>
      <x:c r="C17" s="12" t="n">
        <x:v>2027</x:v>
      </x:c>
      <x:c r="D17" s="20" t="n">
        <x:f>Z7+Z6</x:f>
        <x:v>2444.889030596539</x:v>
      </x:c>
      <x:c r="E17" s="20" t="n">
        <x:f>AA7+AA6</x:f>
        <x:v>1742.7626687073916</x:v>
      </x:c>
      <x:c r="F17" s="24" t="n">
        <x:f>'Расчет'!C8*'Допущения'!B24</x:f>
        <x:v>0</x:v>
      </x:c>
      <x:c r="G17" s="20" t="n">
        <x:f>D17+F17</x:f>
        <x:v>2444.889030596539</x:v>
      </x:c>
      <x:c r="H17" s="20" t="n">
        <x:f>E17</x:f>
        <x:v>1742.7626687073916</x:v>
      </x:c>
      <x:c r="I17" s="20" t="n">
        <x:f>MAX(0,G17-H17)</x:f>
        <x:v>702.1263618891476</x:v>
      </x:c>
      <x:c r="J17" s="38" t="n">
        <x:f>'Допущения'!B30</x:f>
        <x:v>0.1357</x:v>
      </x:c>
      <x:c r="K17" s="39" t="n">
        <x:f>IF(I17-(0)&gt;0.000000001,J17,0)</x:f>
        <x:v>0.1357</x:v>
      </x:c>
      <x:c r="L17" s="24" t="n">
        <x:f>IF(SUM(K$16:K$25)&gt;0,MIN(MAX(0,I17-(0)),MAX(0,'Расчет'!C17-(0))*K17/SUM(K$16:K$25)),0)</x:f>
        <x:v>152.02054894062613</x:v>
      </x:c>
      <x:c r="M17" s="20" t="n">
        <x:f>IF(I17-(L17)&gt;0.000000001,J17,0)</x:f>
        <x:v>0.1357</x:v>
      </x:c>
      <x:c r="N17" s="24" t="n">
        <x:f>IF(SUM(M$16:M$25)&gt;0,MIN(MAX(0,I17-(L17)),MAX(0,'Расчет'!C17-(SUM(L16:L25)))*M17/SUM(M$16:M$25)),0)</x:f>
        <x:v>0</x:v>
      </x:c>
      <x:c r="O17" s="20" t="n">
        <x:f>IF(I17-(L17+N17)&gt;0.000000001,J17,0)</x:f>
        <x:v>0.1357</x:v>
      </x:c>
      <x:c r="P17" s="24" t="n">
        <x:f>IF(SUM(O$16:O$25)&gt;0,MIN(MAX(0,I17-(L17+N17)),MAX(0,'Расчет'!C17-(SUM(L16:L25)+SUM(N16:N25)))*O17/SUM(O$16:O$25)),0)</x:f>
        <x:v>0</x:v>
      </x:c>
      <x:c r="Q17" s="20" t="n">
        <x:f>IF(I17-(L17+N17+P17)&gt;0.000000001,J17,0)</x:f>
        <x:v>0.1357</x:v>
      </x:c>
      <x:c r="R17" s="24" t="n">
        <x:f>IF(SUM(Q$16:Q$25)&gt;0,MIN(MAX(0,I17-(L17+N17+P17)),MAX(0,'Расчет'!C17-(SUM(L16:L25)+SUM(N16:N25)+SUM(P16:P25)))*Q17/SUM(Q$16:Q$25)),0)</x:f>
        <x:v>0</x:v>
      </x:c>
      <x:c r="S17" s="20" t="n">
        <x:f>IF(I17-(L17+N17+P17+R17)&gt;0.000000001,J17,0)</x:f>
        <x:v>0.1357</x:v>
      </x:c>
      <x:c r="T17" s="24" t="n">
        <x:f>IF(SUM(S$16:S$25)&gt;0,MIN(MAX(0,I17-(L17+N17+P17+R17)),MAX(0,'Расчет'!C17-(SUM(L16:L25)+SUM(N16:N25)+SUM(P16:P25)+SUM(R16:R25)))*S17/SUM(S$16:S$25)),0)</x:f>
        <x:v>0</x:v>
      </x:c>
      <x:c r="U17" s="20" t="n">
        <x:f>SUM(L17,N17,P17,R17,T17)</x:f>
        <x:v>152.02054894062613</x:v>
      </x:c>
      <x:c r="V17" s="24" t="n">
        <x:f>G17*(1-'Допущения'!C7)</x:f>
        <x:v>2078.1556760070584</x:v>
      </x:c>
      <x:c r="W17" s="24" t="n">
        <x:f>Y17*(1-'Допущения'!C7)</x:f>
        <x:v>1610.565735000815</x:v>
      </x:c>
      <x:c r="X17" s="20" t="n">
        <x:f>G17</x:f>
        <x:v>2444.889030596539</x:v>
      </x:c>
      <x:c r="Y17" s="20" t="n">
        <x:f>H17+U17</x:f>
        <x:v>1894.7832176480179</x:v>
      </x:c>
      <x:c r="Z17" s="20" t="n">
        <x:f>G17-V17</x:f>
        <x:v>366.73335458948077</x:v>
      </x:c>
      <x:c r="AA17" s="20" t="n">
        <x:f>Y17-W17</x:f>
        <x:v>284.2174826472028</x:v>
      </x:c>
      <x:c r="AB17" s="20" t="n">
        <x:f>Z17-AA17</x:f>
        <x:v>82.51587194227795</x:v>
      </x:c>
    </x:row>
    <x:row r="18" ht="21" customHeight="1">
      <x:c r="A18" s="2" t="str">
        <x:v>Эконом/комфорт</x:v>
      </x:c>
      <x:c r="B18" s="12" t="n">
        <x:v>2027</x:v>
      </x:c>
      <x:c r="C18" s="12" t="n">
        <x:v>2028</x:v>
      </x:c>
      <x:c r="D18" s="20" t="n">
        <x:f>Z8</x:f>
        <x:v>1608.383454319883</x:v>
      </x:c>
      <x:c r="E18" s="20" t="n">
        <x:f>AA8</x:f>
        <x:v>731.7980941527254</x:v>
      </x:c>
      <x:c r="F18" s="24" t="n">
        <x:f>'Расчет'!C8*'Допущения'!C24</x:f>
        <x:v>193.95265658929418</x:v>
      </x:c>
      <x:c r="G18" s="20" t="n">
        <x:f>D18+F18</x:f>
        <x:v>1802.336110909177</x:v>
      </x:c>
      <x:c r="H18" s="20" t="n">
        <x:f>E18</x:f>
        <x:v>731.7980941527254</x:v>
      </x:c>
      <x:c r="I18" s="20" t="n">
        <x:f>MAX(0,G18-H18)</x:f>
        <x:v>1070.5380167564517</x:v>
      </x:c>
      <x:c r="J18" s="38" t="n">
        <x:f>'Допущения'!C30</x:f>
        <x:v>0.3612</x:v>
      </x:c>
      <x:c r="K18" s="39" t="n">
        <x:f>IF(I18-(0)&gt;0.000000001,J18,0)</x:f>
        <x:v>0.3612</x:v>
      </x:c>
      <x:c r="L18" s="24" t="n">
        <x:f>IF(SUM(K$16:K$25)&gt;0,MIN(MAX(0,I18-(0)),MAX(0,'Расчет'!C17-(0))*K18/SUM(K$16:K$25)),0)</x:f>
        <x:v>404.6412842841132</x:v>
      </x:c>
      <x:c r="M18" s="20" t="n">
        <x:f>IF(I18-(L18)&gt;0.000000001,J18,0)</x:f>
        <x:v>0.3612</x:v>
      </x:c>
      <x:c r="N18" s="24" t="n">
        <x:f>IF(SUM(M$16:M$25)&gt;0,MIN(MAX(0,I18-(L18)),MAX(0,'Расчет'!C17-(SUM(L16:L25)))*M18/SUM(M$16:M$25)),0)</x:f>
        <x:v>0</x:v>
      </x:c>
      <x:c r="O18" s="20" t="n">
        <x:f>IF(I18-(L18+N18)&gt;0.000000001,J18,0)</x:f>
        <x:v>0.3612</x:v>
      </x:c>
      <x:c r="P18" s="24" t="n">
        <x:f>IF(SUM(O$16:O$25)&gt;0,MIN(MAX(0,I18-(L18+N18)),MAX(0,'Расчет'!C17-(SUM(L16:L25)+SUM(N16:N25)))*O18/SUM(O$16:O$25)),0)</x:f>
        <x:v>0</x:v>
      </x:c>
      <x:c r="Q18" s="20" t="n">
        <x:f>IF(I18-(L18+N18+P18)&gt;0.000000001,J18,0)</x:f>
        <x:v>0.3612</x:v>
      </x:c>
      <x:c r="R18" s="24" t="n">
        <x:f>IF(SUM(Q$16:Q$25)&gt;0,MIN(MAX(0,I18-(L18+N18+P18)),MAX(0,'Расчет'!C17-(SUM(L16:L25)+SUM(N16:N25)+SUM(P16:P25)))*Q18/SUM(Q$16:Q$25)),0)</x:f>
        <x:v>0</x:v>
      </x:c>
      <x:c r="S18" s="20" t="n">
        <x:f>IF(I18-(L18+N18+P18+R18)&gt;0.000000001,J18,0)</x:f>
        <x:v>0.3612</x:v>
      </x:c>
      <x:c r="T18" s="24" t="n">
        <x:f>IF(SUM(S$16:S$25)&gt;0,MIN(MAX(0,I18-(L18+N18+P18+R18)),MAX(0,'Расчет'!C17-(SUM(L16:L25)+SUM(N16:N25)+SUM(P16:P25)+SUM(R16:R25)))*S18/SUM(S$16:S$25)),0)</x:f>
        <x:v>0</x:v>
      </x:c>
      <x:c r="U18" s="20" t="n">
        <x:f>SUM(L18,N18,P18,R18,T18)</x:f>
        <x:v>404.6412842841132</x:v>
      </x:c>
      <x:c r="V18" s="20" t="n">
        <x:f>0</x:f>
        <x:v>0</x:v>
      </x:c>
      <x:c r="W18" s="20" t="n">
        <x:f>0</x:f>
        <x:v>0</x:v>
      </x:c>
      <x:c r="X18" s="20" t="n">
        <x:f>G18</x:f>
        <x:v>1802.336110909177</x:v>
      </x:c>
      <x:c r="Y18" s="20" t="n">
        <x:f>H18+U18</x:f>
        <x:v>1136.4393784368385</x:v>
      </x:c>
      <x:c r="Z18" s="20" t="n">
        <x:f>G18-V18</x:f>
        <x:v>1802.336110909177</x:v>
      </x:c>
      <x:c r="AA18" s="20" t="n">
        <x:f>Y18-W18</x:f>
        <x:v>1136.4393784368385</x:v>
      </x:c>
      <x:c r="AB18" s="20" t="n">
        <x:f>Z18-AA18</x:f>
        <x:v>665.8967324723385</x:v>
      </x:c>
    </x:row>
    <x:row r="19" ht="21" customHeight="1">
      <x:c r="A19" s="2" t="str">
        <x:v>Эконом/комфорт</x:v>
      </x:c>
      <x:c r="B19" s="12" t="n">
        <x:v>2027</x:v>
      </x:c>
      <x:c r="C19" s="12" t="n">
        <x:v>2029</x:v>
      </x:c>
      <x:c r="D19" s="20" t="n">
        <x:f>Z9</x:f>
        <x:v>554.8938565953886</x:v>
      </x:c>
      <x:c r="E19" s="20" t="n">
        <x:f>AA9</x:f>
        <x:v>140.9249339917468</x:v>
      </x:c>
      <x:c r="F19" s="24" t="n">
        <x:f>'Расчет'!C8*'Допущения'!D24</x:f>
        <x:v>415.3873910711825</x:v>
      </x:c>
      <x:c r="G19" s="20" t="n">
        <x:f>D19+F19</x:f>
        <x:v>970.2812476665711</x:v>
      </x:c>
      <x:c r="H19" s="20" t="n">
        <x:f>E19</x:f>
        <x:v>140.9249339917468</x:v>
      </x:c>
      <x:c r="I19" s="20" t="n">
        <x:f>MAX(0,G19-H19)</x:f>
        <x:v>829.3563136748243</x:v>
      </x:c>
      <x:c r="J19" s="38" t="n">
        <x:f>'Допущения'!D30</x:f>
        <x:v>0.3111</x:v>
      </x:c>
      <x:c r="K19" s="39" t="n">
        <x:f>IF(I19-(0)&gt;0.000000001,J19,0)</x:f>
        <x:v>0.3111</x:v>
      </x:c>
      <x:c r="L19" s="24" t="n">
        <x:f>IF(SUM(K$16:K$25)&gt;0,MIN(MAX(0,I19-(0)),MAX(0,'Расчет'!C17-(0))*K19/SUM(K$16:K$25)),0)</x:f>
        <x:v>348.515790533742</x:v>
      </x:c>
      <x:c r="M19" s="20" t="n">
        <x:f>IF(I19-(L19)&gt;0.000000001,J19,0)</x:f>
        <x:v>0.3111</x:v>
      </x:c>
      <x:c r="N19" s="24" t="n">
        <x:f>IF(SUM(M$16:M$25)&gt;0,MIN(MAX(0,I19-(L19)),MAX(0,'Расчет'!C17-(SUM(L16:L25)))*M19/SUM(M$16:M$25)),0)</x:f>
        <x:v>0</x:v>
      </x:c>
      <x:c r="O19" s="20" t="n">
        <x:f>IF(I19-(L19+N19)&gt;0.000000001,J19,0)</x:f>
        <x:v>0.3111</x:v>
      </x:c>
      <x:c r="P19" s="24" t="n">
        <x:f>IF(SUM(O$16:O$25)&gt;0,MIN(MAX(0,I19-(L19+N19)),MAX(0,'Расчет'!C17-(SUM(L16:L25)+SUM(N16:N25)))*O19/SUM(O$16:O$25)),0)</x:f>
        <x:v>0</x:v>
      </x:c>
      <x:c r="Q19" s="20" t="n">
        <x:f>IF(I19-(L19+N19+P19)&gt;0.000000001,J19,0)</x:f>
        <x:v>0.3111</x:v>
      </x:c>
      <x:c r="R19" s="24" t="n">
        <x:f>IF(SUM(Q$16:Q$25)&gt;0,MIN(MAX(0,I19-(L19+N19+P19)),MAX(0,'Расчет'!C17-(SUM(L16:L25)+SUM(N16:N25)+SUM(P16:P25)))*Q19/SUM(Q$16:Q$25)),0)</x:f>
        <x:v>0</x:v>
      </x:c>
      <x:c r="S19" s="20" t="n">
        <x:f>IF(I19-(L19+N19+P19+R19)&gt;0.000000001,J19,0)</x:f>
        <x:v>0.3111</x:v>
      </x:c>
      <x:c r="T19" s="24" t="n">
        <x:f>IF(SUM(S$16:S$25)&gt;0,MIN(MAX(0,I19-(L19+N19+P19+R19)),MAX(0,'Расчет'!C17-(SUM(L16:L25)+SUM(N16:N25)+SUM(P16:P25)+SUM(R16:R25)))*S19/SUM(S$16:S$25)),0)</x:f>
        <x:v>0</x:v>
      </x:c>
      <x:c r="U19" s="20" t="n">
        <x:f>SUM(L19,N19,P19,R19,T19)</x:f>
        <x:v>348.515790533742</x:v>
      </x:c>
      <x:c r="V19" s="20" t="n">
        <x:f>0</x:f>
        <x:v>0</x:v>
      </x:c>
      <x:c r="W19" s="20" t="n">
        <x:f>0</x:f>
        <x:v>0</x:v>
      </x:c>
      <x:c r="X19" s="20" t="n">
        <x:f>G19</x:f>
        <x:v>970.2812476665711</x:v>
      </x:c>
      <x:c r="Y19" s="20" t="n">
        <x:f>H19+U19</x:f>
        <x:v>489.4407245254888</x:v>
      </x:c>
      <x:c r="Z19" s="20" t="n">
        <x:f>G19-V19</x:f>
        <x:v>970.2812476665711</x:v>
      </x:c>
      <x:c r="AA19" s="20" t="n">
        <x:f>Y19-W19</x:f>
        <x:v>489.4407245254888</x:v>
      </x:c>
      <x:c r="AB19" s="20" t="n">
        <x:f>Z19-AA19</x:f>
        <x:v>480.84052314108226</x:v>
      </x:c>
    </x:row>
    <x:row r="20" ht="21" customHeight="1">
      <x:c r="A20" s="2" t="str">
        <x:v>Эконом/комфорт</x:v>
      </x:c>
      <x:c r="B20" s="12" t="n">
        <x:v>2027</x:v>
      </x:c>
      <x:c r="C20" s="12" t="n">
        <x:v>2030</x:v>
      </x:c>
      <x:c r="D20" s="20" t="n">
        <x:f>Z10</x:f>
        <x:v>78.19445513178998</x:v>
      </x:c>
      <x:c r="E20" s="20" t="n">
        <x:f>AA10</x:f>
        <x:v>9.95269728862368</x:v>
      </x:c>
      <x:c r="F20" s="24" t="n">
        <x:f>'Расчет'!C8*'Допущения'!E24</x:f>
        <x:v>396.2152162608048</x:v>
      </x:c>
      <x:c r="G20" s="20" t="n">
        <x:f>D20+F20</x:f>
        <x:v>474.4096713925948</x:v>
      </x:c>
      <x:c r="H20" s="20" t="n">
        <x:f>E20</x:f>
        <x:v>9.95269728862368</x:v>
      </x:c>
      <x:c r="I20" s="20" t="n">
        <x:f>MAX(0,G20-H20)</x:f>
        <x:v>464.45697410397116</x:v>
      </x:c>
      <x:c r="J20" s="38" t="n">
        <x:f>'Допущения'!E30</x:f>
        <x:v>0.1495</x:v>
      </x:c>
      <x:c r="K20" s="39" t="n">
        <x:f>IF(I20-(0)&gt;0.000000001,J20,0)</x:f>
        <x:v>0.1495</x:v>
      </x:c>
      <x:c r="L20" s="24" t="n">
        <x:f>IF(SUM(K$16:K$25)&gt;0,MIN(MAX(0,I20-(0)),MAX(0,'Расчет'!C17-(0))*K20/SUM(K$16:K$25)),0)</x:f>
        <x:v>167.48026578204573</x:v>
      </x:c>
      <x:c r="M20" s="20" t="n">
        <x:f>IF(I20-(L20)&gt;0.000000001,J20,0)</x:f>
        <x:v>0.1495</x:v>
      </x:c>
      <x:c r="N20" s="24" t="n">
        <x:f>IF(SUM(M$16:M$25)&gt;0,MIN(MAX(0,I20-(L20)),MAX(0,'Расчет'!C17-(SUM(L16:L25)))*M20/SUM(M$16:M$25)),0)</x:f>
        <x:v>0</x:v>
      </x:c>
      <x:c r="O20" s="20" t="n">
        <x:f>IF(I20-(L20+N20)&gt;0.000000001,J20,0)</x:f>
        <x:v>0.1495</x:v>
      </x:c>
      <x:c r="P20" s="24" t="n">
        <x:f>IF(SUM(O$16:O$25)&gt;0,MIN(MAX(0,I20-(L20+N20)),MAX(0,'Расчет'!C17-(SUM(L16:L25)+SUM(N16:N25)))*O20/SUM(O$16:O$25)),0)</x:f>
        <x:v>0</x:v>
      </x:c>
      <x:c r="Q20" s="20" t="n">
        <x:f>IF(I20-(L20+N20+P20)&gt;0.000000001,J20,0)</x:f>
        <x:v>0.1495</x:v>
      </x:c>
      <x:c r="R20" s="24" t="n">
        <x:f>IF(SUM(Q$16:Q$25)&gt;0,MIN(MAX(0,I20-(L20+N20+P20)),MAX(0,'Расчет'!C17-(SUM(L16:L25)+SUM(N16:N25)+SUM(P16:P25)))*Q20/SUM(Q$16:Q$25)),0)</x:f>
        <x:v>0</x:v>
      </x:c>
      <x:c r="S20" s="20" t="n">
        <x:f>IF(I20-(L20+N20+P20+R20)&gt;0.000000001,J20,0)</x:f>
        <x:v>0.1495</x:v>
      </x:c>
      <x:c r="T20" s="24" t="n">
        <x:f>IF(SUM(S$16:S$25)&gt;0,MIN(MAX(0,I20-(L20+N20+P20+R20)),MAX(0,'Расчет'!C17-(SUM(L16:L25)+SUM(N16:N25)+SUM(P16:P25)+SUM(R16:R25)))*S20/SUM(S$16:S$25)),0)</x:f>
        <x:v>0</x:v>
      </x:c>
      <x:c r="U20" s="20" t="n">
        <x:f>SUM(L20,N20,P20,R20,T20)</x:f>
        <x:v>167.48026578204573</x:v>
      </x:c>
      <x:c r="V20" s="20" t="n">
        <x:f>0</x:f>
        <x:v>0</x:v>
      </x:c>
      <x:c r="W20" s="20" t="n">
        <x:f>0</x:f>
        <x:v>0</x:v>
      </x:c>
      <x:c r="X20" s="20" t="n">
        <x:f>G20</x:f>
        <x:v>474.4096713925948</x:v>
      </x:c>
      <x:c r="Y20" s="20" t="n">
        <x:f>H20+U20</x:f>
        <x:v>177.43296307066942</x:v>
      </x:c>
      <x:c r="Z20" s="20" t="n">
        <x:f>G20-V20</x:f>
        <x:v>474.4096713925948</x:v>
      </x:c>
      <x:c r="AA20" s="20" t="n">
        <x:f>Y20-W20</x:f>
        <x:v>177.43296307066942</x:v>
      </x:c>
      <x:c r="AB20" s="20" t="n">
        <x:f>Z20-AA20</x:f>
        <x:v>296.9767083219254</x:v>
      </x:c>
    </x:row>
    <x:row r="21" ht="21" customHeight="1">
      <x:c r="A21" s="2" t="str">
        <x:v>Эконом/комфорт</x:v>
      </x:c>
      <x:c r="B21" s="12" t="n">
        <x:v>2027</x:v>
      </x:c>
      <x:c r="C21" s="12" t="n">
        <x:v>2031</x:v>
      </x:c>
      <x:c r="D21" s="20" t="n">
        <x:f>Z11</x:f>
        <x:v>2.64098130033296</x:v>
      </x:c>
      <x:c r="E21" s="20" t="n">
        <x:f>AA11</x:f>
        <x:v>0</x:v>
      </x:c>
      <x:c r="F21" s="24" t="n">
        <x:f>'Расчет'!C8*'Допущения'!F24</x:f>
        <x:v>69.60853008567929</x:v>
      </x:c>
      <x:c r="G21" s="20" t="n">
        <x:f>D21+F21</x:f>
        <x:v>72.24951138601224</x:v>
      </x:c>
      <x:c r="H21" s="20" t="n">
        <x:f>E21</x:f>
        <x:v>0</x:v>
      </x:c>
      <x:c r="I21" s="20" t="n">
        <x:f>MAX(0,G21-H21)</x:f>
        <x:v>72.24951138601224</x:v>
      </x:c>
      <x:c r="J21" s="38" t="n">
        <x:f>'Допущения'!F30</x:f>
        <x:v>0.0425</x:v>
      </x:c>
      <x:c r="K21" s="39" t="n">
        <x:f>IF(I21-(0)&gt;0.000000001,J21,0)</x:f>
        <x:v>0.0425</x:v>
      </x:c>
      <x:c r="L21" s="24" t="n">
        <x:f>IF(SUM(K$16:K$25)&gt;0,MIN(MAX(0,I21-(0)),MAX(0,'Расчет'!C17-(0))*K21/SUM(K$16:K$25)),0)</x:f>
        <x:v>47.61144679422706</x:v>
      </x:c>
      <x:c r="M21" s="20" t="n">
        <x:f>IF(I21-(L21)&gt;0.000000001,J21,0)</x:f>
        <x:v>0.0425</x:v>
      </x:c>
      <x:c r="N21" s="24" t="n">
        <x:f>IF(SUM(M$16:M$25)&gt;0,MIN(MAX(0,I21-(L21)),MAX(0,'Расчет'!C17-(SUM(L16:L25)))*M21/SUM(M$16:M$25)),0)</x:f>
        <x:v>0</x:v>
      </x:c>
      <x:c r="O21" s="20" t="n">
        <x:f>IF(I21-(L21+N21)&gt;0.000000001,J21,0)</x:f>
        <x:v>0.0425</x:v>
      </x:c>
      <x:c r="P21" s="24" t="n">
        <x:f>IF(SUM(O$16:O$25)&gt;0,MIN(MAX(0,I21-(L21+N21)),MAX(0,'Расчет'!C17-(SUM(L16:L25)+SUM(N16:N25)))*O21/SUM(O$16:O$25)),0)</x:f>
        <x:v>0</x:v>
      </x:c>
      <x:c r="Q21" s="20" t="n">
        <x:f>IF(I21-(L21+N21+P21)&gt;0.000000001,J21,0)</x:f>
        <x:v>0.0425</x:v>
      </x:c>
      <x:c r="R21" s="24" t="n">
        <x:f>IF(SUM(Q$16:Q$25)&gt;0,MIN(MAX(0,I21-(L21+N21+P21)),MAX(0,'Расчет'!C17-(SUM(L16:L25)+SUM(N16:N25)+SUM(P16:P25)))*Q21/SUM(Q$16:Q$25)),0)</x:f>
        <x:v>0</x:v>
      </x:c>
      <x:c r="S21" s="20" t="n">
        <x:f>IF(I21-(L21+N21+P21+R21)&gt;0.000000001,J21,0)</x:f>
        <x:v>0.0425</x:v>
      </x:c>
      <x:c r="T21" s="24" t="n">
        <x:f>IF(SUM(S$16:S$25)&gt;0,MIN(MAX(0,I21-(L21+N21+P21+R21)),MAX(0,'Расчет'!C17-(SUM(L16:L25)+SUM(N16:N25)+SUM(P16:P25)+SUM(R16:R25)))*S21/SUM(S$16:S$25)),0)</x:f>
        <x:v>0</x:v>
      </x:c>
      <x:c r="U21" s="20" t="n">
        <x:f>SUM(L21,N21,P21,R21,T21)</x:f>
        <x:v>47.61144679422706</x:v>
      </x:c>
      <x:c r="V21" s="20" t="n">
        <x:f>0</x:f>
        <x:v>0</x:v>
      </x:c>
      <x:c r="W21" s="20" t="n">
        <x:f>0</x:f>
        <x:v>0</x:v>
      </x:c>
      <x:c r="X21" s="20" t="n">
        <x:f>G21</x:f>
        <x:v>72.24951138601224</x:v>
      </x:c>
      <x:c r="Y21" s="20" t="n">
        <x:f>H21+U21</x:f>
        <x:v>47.61144679422706</x:v>
      </x:c>
      <x:c r="Z21" s="20" t="n">
        <x:f>G21-V21</x:f>
        <x:v>72.24951138601224</x:v>
      </x:c>
      <x:c r="AA21" s="20" t="n">
        <x:f>Y21-W21</x:f>
        <x:v>47.61144679422706</x:v>
      </x:c>
      <x:c r="AB21" s="20" t="n">
        <x:f>Z21-AA21</x:f>
        <x:v>24.638064591785188</x:v>
      </x:c>
    </x:row>
    <x:row r="22" ht="21" customHeight="1">
      <x:c r="A22" s="2" t="str">
        <x:v>Эконом/комфорт</x:v>
      </x:c>
      <x:c r="B22" s="12" t="n">
        <x:v>2027</x:v>
      </x:c>
      <x:c r="C22" s="12" t="n">
        <x:v>2032</x:v>
      </x:c>
      <x:c r="D22" s="20" t="n">
        <x:f>Z12</x:f>
        <x:v>0</x:v>
      </x:c>
      <x:c r="E22" s="20" t="n">
        <x:f>AA12</x:f>
        <x:v>0</x:v>
      </x:c>
      <x:c r="F22" s="24" t="n">
        <x:f>'Расчет'!C8*'Допущения'!G24</x:f>
        <x:v>13.967561162731812</x:v>
      </x:c>
      <x:c r="G22" s="20" t="n">
        <x:f>D22+F22</x:f>
        <x:v>13.967561162731812</x:v>
      </x:c>
      <x:c r="H22" s="20" t="n">
        <x:f>E22</x:f>
        <x:v>0</x:v>
      </x:c>
      <x:c r="I22" s="20" t="n">
        <x:f>MAX(0,G22-H22)</x:f>
        <x:v>13.967561162731812</x:v>
      </x:c>
      <x:c r="J22" s="39" t="n">
        <x:f>0</x:f>
        <x:v>0</x:v>
      </x:c>
      <x:c r="K22" s="39" t="n">
        <x:f>IF(I22-(0)&gt;0.000000001,J22,0)</x:f>
        <x:v>0</x:v>
      </x:c>
      <x:c r="L22" s="24" t="n">
        <x:f>IF(SUM(K$16:K$25)&gt;0,MIN(MAX(0,I22-(0)),MAX(0,'Расчет'!C17-(0))*K22/SUM(K$16:K$25)),0)</x:f>
        <x:v>0</x:v>
      </x:c>
      <x:c r="M22" s="20" t="n">
        <x:f>IF(I22-(L22)&gt;0.000000001,J22,0)</x:f>
        <x:v>0</x:v>
      </x:c>
      <x:c r="N22" s="24" t="n">
        <x:f>IF(SUM(M$16:M$25)&gt;0,MIN(MAX(0,I22-(L22)),MAX(0,'Расчет'!C17-(SUM(L16:L25)))*M22/SUM(M$16:M$25)),0)</x:f>
        <x:v>0</x:v>
      </x:c>
      <x:c r="O22" s="20" t="n">
        <x:f>IF(I22-(L22+N22)&gt;0.000000001,J22,0)</x:f>
        <x:v>0</x:v>
      </x:c>
      <x:c r="P22" s="24" t="n">
        <x:f>IF(SUM(O$16:O$25)&gt;0,MIN(MAX(0,I22-(L22+N22)),MAX(0,'Расчет'!C17-(SUM(L16:L25)+SUM(N16:N25)))*O22/SUM(O$16:O$25)),0)</x:f>
        <x:v>0</x:v>
      </x:c>
      <x:c r="Q22" s="20" t="n">
        <x:f>IF(I22-(L22+N22+P22)&gt;0.000000001,J22,0)</x:f>
        <x:v>0</x:v>
      </x:c>
      <x:c r="R22" s="24" t="n">
        <x:f>IF(SUM(Q$16:Q$25)&gt;0,MIN(MAX(0,I22-(L22+N22+P22)),MAX(0,'Расчет'!C17-(SUM(L16:L25)+SUM(N16:N25)+SUM(P16:P25)))*Q22/SUM(Q$16:Q$25)),0)</x:f>
        <x:v>0</x:v>
      </x:c>
      <x:c r="S22" s="20" t="n">
        <x:f>IF(I22-(L22+N22+P22+R22)&gt;0.000000001,J22,0)</x:f>
        <x:v>0</x:v>
      </x:c>
      <x:c r="T22" s="24" t="n">
        <x:f>IF(SUM(S$16:S$25)&gt;0,MIN(MAX(0,I22-(L22+N22+P22+R22)),MAX(0,'Расчет'!C17-(SUM(L16:L25)+SUM(N16:N25)+SUM(P16:P25)+SUM(R16:R25)))*S22/SUM(S$16:S$25)),0)</x:f>
        <x:v>0</x:v>
      </x:c>
      <x:c r="U22" s="20" t="n">
        <x:f>SUM(L22,N22,P22,R22,T22)</x:f>
        <x:v>0</x:v>
      </x:c>
      <x:c r="V22" s="20" t="n">
        <x:f>0</x:f>
        <x:v>0</x:v>
      </x:c>
      <x:c r="W22" s="20" t="n">
        <x:f>0</x:f>
        <x:v>0</x:v>
      </x:c>
      <x:c r="X22" s="20" t="n">
        <x:f>G22</x:f>
        <x:v>13.967561162731812</x:v>
      </x:c>
      <x:c r="Y22" s="20" t="n">
        <x:f>H22+U22</x:f>
        <x:v>0</x:v>
      </x:c>
      <x:c r="Z22" s="20" t="n">
        <x:f>G22-V22</x:f>
        <x:v>13.967561162731812</x:v>
      </x:c>
      <x:c r="AA22" s="20" t="n">
        <x:f>Y22-W22</x:f>
        <x:v>0</x:v>
      </x:c>
      <x:c r="AB22" s="20" t="n">
        <x:f>Z22-AA22</x:f>
        <x:v>13.967561162731812</x:v>
      </x:c>
    </x:row>
    <x:row r="23" ht="21" customHeight="1">
      <x:c r="A23" s="2" t="str">
        <x:v>Эконом/комфорт</x:v>
      </x:c>
      <x:c r="B23" s="12" t="n">
        <x:v>2027</x:v>
      </x:c>
      <x:c r="C23" s="12" t="n">
        <x:v>2033</x:v>
      </x:c>
      <x:c r="D23" s="20" t="n">
        <x:f>Z13</x:f>
        <x:v>0</x:v>
      </x:c>
      <x:c r="E23" s="20" t="n">
        <x:f>AA13</x:f>
        <x:v>0</x:v>
      </x:c>
      <x:c r="F23" s="20" t="n">
        <x:f>0</x:f>
        <x:v>0</x:v>
      </x:c>
      <x:c r="G23" s="20" t="n">
        <x:f>D23+F23</x:f>
        <x:v>0</x:v>
      </x:c>
      <x:c r="H23" s="20" t="n">
        <x:f>E23</x:f>
        <x:v>0</x:v>
      </x:c>
      <x:c r="I23" s="20" t="n">
        <x:f>MAX(0,G23-H23)</x:f>
        <x:v>0</x:v>
      </x:c>
      <x:c r="J23" s="39" t="n">
        <x:f>0</x:f>
        <x:v>0</x:v>
      </x:c>
      <x:c r="K23" s="39" t="n">
        <x:f>IF(I23-(0)&gt;0.000000001,J23,0)</x:f>
        <x:v>0</x:v>
      </x:c>
      <x:c r="L23" s="24" t="n">
        <x:f>IF(SUM(K$16:K$25)&gt;0,MIN(MAX(0,I23-(0)),MAX(0,'Расчет'!C17-(0))*K23/SUM(K$16:K$25)),0)</x:f>
        <x:v>0</x:v>
      </x:c>
      <x:c r="M23" s="20" t="n">
        <x:f>IF(I23-(L23)&gt;0.000000001,J23,0)</x:f>
        <x:v>0</x:v>
      </x:c>
      <x:c r="N23" s="24" t="n">
        <x:f>IF(SUM(M$16:M$25)&gt;0,MIN(MAX(0,I23-(L23)),MAX(0,'Расчет'!C17-(SUM(L16:L25)))*M23/SUM(M$16:M$25)),0)</x:f>
        <x:v>0</x:v>
      </x:c>
      <x:c r="O23" s="20" t="n">
        <x:f>IF(I23-(L23+N23)&gt;0.000000001,J23,0)</x:f>
        <x:v>0</x:v>
      </x:c>
      <x:c r="P23" s="24" t="n">
        <x:f>IF(SUM(O$16:O$25)&gt;0,MIN(MAX(0,I23-(L23+N23)),MAX(0,'Расчет'!C17-(SUM(L16:L25)+SUM(N16:N25)))*O23/SUM(O$16:O$25)),0)</x:f>
        <x:v>0</x:v>
      </x:c>
      <x:c r="Q23" s="20" t="n">
        <x:f>IF(I23-(L23+N23+P23)&gt;0.000000001,J23,0)</x:f>
        <x:v>0</x:v>
      </x:c>
      <x:c r="R23" s="24" t="n">
        <x:f>IF(SUM(Q$16:Q$25)&gt;0,MIN(MAX(0,I23-(L23+N23+P23)),MAX(0,'Расчет'!C17-(SUM(L16:L25)+SUM(N16:N25)+SUM(P16:P25)))*Q23/SUM(Q$16:Q$25)),0)</x:f>
        <x:v>0</x:v>
      </x:c>
      <x:c r="S23" s="20" t="n">
        <x:f>IF(I23-(L23+N23+P23+R23)&gt;0.000000001,J23,0)</x:f>
        <x:v>0</x:v>
      </x:c>
      <x:c r="T23" s="24" t="n">
        <x:f>IF(SUM(S$16:S$25)&gt;0,MIN(MAX(0,I23-(L23+N23+P23+R23)),MAX(0,'Расчет'!C17-(SUM(L16:L25)+SUM(N16:N25)+SUM(P16:P25)+SUM(R16:R25)))*S23/SUM(S$16:S$25)),0)</x:f>
        <x:v>0</x:v>
      </x:c>
      <x:c r="U23" s="20" t="n">
        <x:f>SUM(L23,N23,P23,R23,T23)</x:f>
        <x:v>0</x:v>
      </x:c>
      <x:c r="V23" s="20" t="n">
        <x:f>0</x:f>
        <x:v>0</x:v>
      </x:c>
      <x:c r="W23" s="20" t="n">
        <x:f>0</x:f>
        <x:v>0</x:v>
      </x:c>
      <x:c r="X23" s="20" t="n">
        <x:f>G23</x:f>
        <x:v>0</x:v>
      </x:c>
      <x:c r="Y23" s="20" t="n">
        <x:f>H23+U23</x:f>
        <x:v>0</x:v>
      </x:c>
      <x:c r="Z23" s="20" t="n">
        <x:f>G23-V23</x:f>
        <x:v>0</x:v>
      </x:c>
      <x:c r="AA23" s="20" t="n">
        <x:f>Y23-W23</x:f>
        <x:v>0</x:v>
      </x:c>
      <x:c r="AB23" s="20" t="n">
        <x:f>Z23-AA23</x:f>
        <x:v>0</x:v>
      </x:c>
    </x:row>
    <x:row r="24" ht="21" customHeight="1">
      <x:c r="A24" s="2" t="str">
        <x:v>Эконом/комфорт</x:v>
      </x:c>
      <x:c r="B24" s="12" t="n">
        <x:v>2027</x:v>
      </x:c>
      <x:c r="C24" s="12" t="n">
        <x:v>2034</x:v>
      </x:c>
      <x:c r="D24" s="20" t="n">
        <x:f>Z14</x:f>
        <x:v>0</x:v>
      </x:c>
      <x:c r="E24" s="20" t="n">
        <x:f>AA14</x:f>
        <x:v>0</x:v>
      </x:c>
      <x:c r="F24" s="20" t="n">
        <x:f>0</x:f>
        <x:v>0</x:v>
      </x:c>
      <x:c r="G24" s="20" t="n">
        <x:f>D24+F24</x:f>
        <x:v>0</x:v>
      </x:c>
      <x:c r="H24" s="20" t="n">
        <x:f>E24</x:f>
        <x:v>0</x:v>
      </x:c>
      <x:c r="I24" s="20" t="n">
        <x:f>MAX(0,G24-H24)</x:f>
        <x:v>0</x:v>
      </x:c>
      <x:c r="J24" s="39" t="n">
        <x:f>0</x:f>
        <x:v>0</x:v>
      </x:c>
      <x:c r="K24" s="39" t="n">
        <x:f>IF(I24-(0)&gt;0.000000001,J24,0)</x:f>
        <x:v>0</x:v>
      </x:c>
      <x:c r="L24" s="24" t="n">
        <x:f>IF(SUM(K$16:K$25)&gt;0,MIN(MAX(0,I24-(0)),MAX(0,'Расчет'!C17-(0))*K24/SUM(K$16:K$25)),0)</x:f>
        <x:v>0</x:v>
      </x:c>
      <x:c r="M24" s="20" t="n">
        <x:f>IF(I24-(L24)&gt;0.000000001,J24,0)</x:f>
        <x:v>0</x:v>
      </x:c>
      <x:c r="N24" s="24" t="n">
        <x:f>IF(SUM(M$16:M$25)&gt;0,MIN(MAX(0,I24-(L24)),MAX(0,'Расчет'!C17-(SUM(L16:L25)))*M24/SUM(M$16:M$25)),0)</x:f>
        <x:v>0</x:v>
      </x:c>
      <x:c r="O24" s="20" t="n">
        <x:f>IF(I24-(L24+N24)&gt;0.000000001,J24,0)</x:f>
        <x:v>0</x:v>
      </x:c>
      <x:c r="P24" s="24" t="n">
        <x:f>IF(SUM(O$16:O$25)&gt;0,MIN(MAX(0,I24-(L24+N24)),MAX(0,'Расчет'!C17-(SUM(L16:L25)+SUM(N16:N25)))*O24/SUM(O$16:O$25)),0)</x:f>
        <x:v>0</x:v>
      </x:c>
      <x:c r="Q24" s="20" t="n">
        <x:f>IF(I24-(L24+N24+P24)&gt;0.000000001,J24,0)</x:f>
        <x:v>0</x:v>
      </x:c>
      <x:c r="R24" s="24" t="n">
        <x:f>IF(SUM(Q$16:Q$25)&gt;0,MIN(MAX(0,I24-(L24+N24+P24)),MAX(0,'Расчет'!C17-(SUM(L16:L25)+SUM(N16:N25)+SUM(P16:P25)))*Q24/SUM(Q$16:Q$25)),0)</x:f>
        <x:v>0</x:v>
      </x:c>
      <x:c r="S24" s="20" t="n">
        <x:f>IF(I24-(L24+N24+P24+R24)&gt;0.000000001,J24,0)</x:f>
        <x:v>0</x:v>
      </x:c>
      <x:c r="T24" s="24" t="n">
        <x:f>IF(SUM(S$16:S$25)&gt;0,MIN(MAX(0,I24-(L24+N24+P24+R24)),MAX(0,'Расчет'!C17-(SUM(L16:L25)+SUM(N16:N25)+SUM(P16:P25)+SUM(R16:R25)))*S24/SUM(S$16:S$25)),0)</x:f>
        <x:v>0</x:v>
      </x:c>
      <x:c r="U24" s="20" t="n">
        <x:f>SUM(L24,N24,P24,R24,T24)</x:f>
        <x:v>0</x:v>
      </x:c>
      <x:c r="V24" s="20" t="n">
        <x:f>0</x:f>
        <x:v>0</x:v>
      </x:c>
      <x:c r="W24" s="20" t="n">
        <x:f>0</x:f>
        <x:v>0</x:v>
      </x:c>
      <x:c r="X24" s="20" t="n">
        <x:f>G24</x:f>
        <x:v>0</x:v>
      </x:c>
      <x:c r="Y24" s="20" t="n">
        <x:f>H24+U24</x:f>
        <x:v>0</x:v>
      </x:c>
      <x:c r="Z24" s="20" t="n">
        <x:f>G24-V24</x:f>
        <x:v>0</x:v>
      </x:c>
      <x:c r="AA24" s="20" t="n">
        <x:f>Y24-W24</x:f>
        <x:v>0</x:v>
      </x:c>
      <x:c r="AB24" s="20" t="n">
        <x:f>Z24-AA24</x:f>
        <x:v>0</x:v>
      </x:c>
    </x:row>
    <x:row r="25" ht="21" customHeight="1">
      <x:c r="A25" s="2" t="str">
        <x:v>Эконом/комфорт</x:v>
      </x:c>
      <x:c r="B25" s="12" t="n">
        <x:v>2027</x:v>
      </x:c>
      <x:c r="C25" s="12" t="n">
        <x:v>2035</x:v>
      </x:c>
      <x:c r="D25" s="20" t="n">
        <x:f>Z15</x:f>
        <x:v>0</x:v>
      </x:c>
      <x:c r="E25" s="20" t="n">
        <x:f>AA15</x:f>
        <x:v>0</x:v>
      </x:c>
      <x:c r="F25" s="20" t="n">
        <x:f>0</x:f>
        <x:v>0</x:v>
      </x:c>
      <x:c r="G25" s="20" t="n">
        <x:f>D25+F25</x:f>
        <x:v>0</x:v>
      </x:c>
      <x:c r="H25" s="20" t="n">
        <x:f>E25</x:f>
        <x:v>0</x:v>
      </x:c>
      <x:c r="I25" s="20" t="n">
        <x:f>MAX(0,G25-H25)</x:f>
        <x:v>0</x:v>
      </x:c>
      <x:c r="J25" s="39" t="n">
        <x:f>0</x:f>
        <x:v>0</x:v>
      </x:c>
      <x:c r="K25" s="39" t="n">
        <x:f>IF(I25-(0)&gt;0.000000001,J25,0)</x:f>
        <x:v>0</x:v>
      </x:c>
      <x:c r="L25" s="24" t="n">
        <x:f>IF(SUM(K$16:K$25)&gt;0,MIN(MAX(0,I25-(0)),MAX(0,'Расчет'!C17-(0))*K25/SUM(K$16:K$25)),0)</x:f>
        <x:v>0</x:v>
      </x:c>
      <x:c r="M25" s="20" t="n">
        <x:f>IF(I25-(L25)&gt;0.000000001,J25,0)</x:f>
        <x:v>0</x:v>
      </x:c>
      <x:c r="N25" s="24" t="n">
        <x:f>IF(SUM(M$16:M$25)&gt;0,MIN(MAX(0,I25-(L25)),MAX(0,'Расчет'!C17-(SUM(L16:L25)))*M25/SUM(M$16:M$25)),0)</x:f>
        <x:v>0</x:v>
      </x:c>
      <x:c r="O25" s="20" t="n">
        <x:f>IF(I25-(L25+N25)&gt;0.000000001,J25,0)</x:f>
        <x:v>0</x:v>
      </x:c>
      <x:c r="P25" s="24" t="n">
        <x:f>IF(SUM(O$16:O$25)&gt;0,MIN(MAX(0,I25-(L25+N25)),MAX(0,'Расчет'!C17-(SUM(L16:L25)+SUM(N16:N25)))*O25/SUM(O$16:O$25)),0)</x:f>
        <x:v>0</x:v>
      </x:c>
      <x:c r="Q25" s="20" t="n">
        <x:f>IF(I25-(L25+N25+P25)&gt;0.000000001,J25,0)</x:f>
        <x:v>0</x:v>
      </x:c>
      <x:c r="R25" s="24" t="n">
        <x:f>IF(SUM(Q$16:Q$25)&gt;0,MIN(MAX(0,I25-(L25+N25+P25)),MAX(0,'Расчет'!C17-(SUM(L16:L25)+SUM(N16:N25)+SUM(P16:P25)))*Q25/SUM(Q$16:Q$25)),0)</x:f>
        <x:v>0</x:v>
      </x:c>
      <x:c r="S25" s="20" t="n">
        <x:f>IF(I25-(L25+N25+P25+R25)&gt;0.000000001,J25,0)</x:f>
        <x:v>0</x:v>
      </x:c>
      <x:c r="T25" s="24" t="n">
        <x:f>IF(SUM(S$16:S$25)&gt;0,MIN(MAX(0,I25-(L25+N25+P25+R25)),MAX(0,'Расчет'!C17-(SUM(L16:L25)+SUM(N16:N25)+SUM(P16:P25)+SUM(R16:R25)))*S25/SUM(S$16:S$25)),0)</x:f>
        <x:v>0</x:v>
      </x:c>
      <x:c r="U25" s="20" t="n">
        <x:f>SUM(L25,N25,P25,R25,T25)</x:f>
        <x:v>0</x:v>
      </x:c>
      <x:c r="V25" s="20" t="n">
        <x:f>0</x:f>
        <x:v>0</x:v>
      </x:c>
      <x:c r="W25" s="20" t="n">
        <x:f>0</x:f>
        <x:v>0</x:v>
      </x:c>
      <x:c r="X25" s="20" t="n">
        <x:f>G25</x:f>
        <x:v>0</x:v>
      </x:c>
      <x:c r="Y25" s="20" t="n">
        <x:f>H25+U25</x:f>
        <x:v>0</x:v>
      </x:c>
      <x:c r="Z25" s="20" t="n">
        <x:f>G25-V25</x:f>
        <x:v>0</x:v>
      </x:c>
      <x:c r="AA25" s="20" t="n">
        <x:f>Y25-W25</x:f>
        <x:v>0</x:v>
      </x:c>
      <x:c r="AB25" s="20" t="n">
        <x:f>Z25-AA25</x:f>
        <x:v>0</x:v>
      </x:c>
    </x:row>
    <x:row r="26" ht="21" customHeight="1">
      <x:c r="A26" s="2" t="str">
        <x:v>Эконом/комфорт</x:v>
      </x:c>
      <x:c r="B26" s="12" t="n">
        <x:v>2028</x:v>
      </x:c>
      <x:c r="C26" s="12" t="n">
        <x:v>2026</x:v>
      </x:c>
      <x:c r="D26" s="20" t="n">
        <x:f>0</x:f>
        <x:v>0</x:v>
      </x:c>
      <x:c r="E26" s="20" t="n">
        <x:f>0</x:f>
        <x:v>0</x:v>
      </x:c>
      <x:c r="F26" s="20" t="n">
        <x:f>0</x:f>
        <x:v>0</x:v>
      </x:c>
      <x:c r="G26" s="20" t="n">
        <x:f>D26+F26</x:f>
        <x:v>0</x:v>
      </x:c>
      <x:c r="H26" s="20" t="n">
        <x:f>E26</x:f>
        <x:v>0</x:v>
      </x:c>
      <x:c r="I26" s="20" t="n">
        <x:f>MAX(0,G26-H26)</x:f>
        <x:v>0</x:v>
      </x:c>
      <x:c r="J26" s="39" t="n">
        <x:f>0</x:f>
        <x:v>0</x:v>
      </x:c>
      <x:c r="K26" s="39" t="n">
        <x:f>IF(I26-(0)&gt;0.000000001,J26,0)</x:f>
        <x:v>0</x:v>
      </x:c>
      <x:c r="L26" s="24" t="n">
        <x:f>IF(SUM(K$26:K$35)&gt;0,MIN(MAX(0,I26-(0)),MAX(0,'Расчет'!D17-(0))*K26/SUM(K$26:K$35)),0)</x:f>
        <x:v>0</x:v>
      </x:c>
      <x:c r="M26" s="20" t="n">
        <x:f>IF(I26-(L26)&gt;0.000000001,J26,0)</x:f>
        <x:v>0</x:v>
      </x:c>
      <x:c r="N26" s="24" t="n">
        <x:f>IF(SUM(M$26:M$35)&gt;0,MIN(MAX(0,I26-(L26)),MAX(0,'Расчет'!D17-(SUM(L26:L35)))*M26/SUM(M$26:M$35)),0)</x:f>
        <x:v>0</x:v>
      </x:c>
      <x:c r="O26" s="20" t="n">
        <x:f>IF(I26-(L26+N26)&gt;0.000000001,J26,0)</x:f>
        <x:v>0</x:v>
      </x:c>
      <x:c r="P26" s="24" t="n">
        <x:f>IF(SUM(O$26:O$35)&gt;0,MIN(MAX(0,I26-(L26+N26)),MAX(0,'Расчет'!D17-(SUM(L26:L35)+SUM(N26:N35)))*O26/SUM(O$26:O$35)),0)</x:f>
        <x:v>0</x:v>
      </x:c>
      <x:c r="Q26" s="20" t="n">
        <x:f>IF(I26-(L26+N26+P26)&gt;0.000000001,J26,0)</x:f>
        <x:v>0</x:v>
      </x:c>
      <x:c r="R26" s="24" t="n">
        <x:f>IF(SUM(Q$26:Q$35)&gt;0,MIN(MAX(0,I26-(L26+N26+P26)),MAX(0,'Расчет'!D17-(SUM(L26:L35)+SUM(N26:N35)+SUM(P26:P35)))*Q26/SUM(Q$26:Q$35)),0)</x:f>
        <x:v>0</x:v>
      </x:c>
      <x:c r="S26" s="20" t="n">
        <x:f>IF(I26-(L26+N26+P26+R26)&gt;0.000000001,J26,0)</x:f>
        <x:v>0</x:v>
      </x:c>
      <x:c r="T26" s="24" t="n">
        <x:f>IF(SUM(S$26:S$35)&gt;0,MIN(MAX(0,I26-(L26+N26+P26+R26)),MAX(0,'Расчет'!D17-(SUM(L26:L35)+SUM(N26:N35)+SUM(P26:P35)+SUM(R26:R35)))*S26/SUM(S$26:S$35)),0)</x:f>
        <x:v>0</x:v>
      </x:c>
      <x:c r="U26" s="20" t="n">
        <x:f>SUM(L26,N26,P26,R26,T26)</x:f>
        <x:v>0</x:v>
      </x:c>
      <x:c r="V26" s="20" t="n">
        <x:f>0</x:f>
        <x:v>0</x:v>
      </x:c>
      <x:c r="W26" s="20" t="n">
        <x:f>0</x:f>
        <x:v>0</x:v>
      </x:c>
      <x:c r="X26" s="20" t="n">
        <x:f>G26</x:f>
        <x:v>0</x:v>
      </x:c>
      <x:c r="Y26" s="20" t="n">
        <x:f>H26+U26</x:f>
        <x:v>0</x:v>
      </x:c>
      <x:c r="Z26" s="20" t="n">
        <x:f>G26-V26</x:f>
        <x:v>0</x:v>
      </x:c>
      <x:c r="AA26" s="20" t="n">
        <x:f>Y26-W26</x:f>
        <x:v>0</x:v>
      </x:c>
      <x:c r="AB26" s="20" t="n">
        <x:f>Z26-AA26</x:f>
        <x:v>0</x:v>
      </x:c>
    </x:row>
    <x:row r="27" ht="21" customHeight="1">
      <x:c r="A27" s="2" t="str">
        <x:v>Эконом/комфорт</x:v>
      </x:c>
      <x:c r="B27" s="12" t="n">
        <x:v>2028</x:v>
      </x:c>
      <x:c r="C27" s="12" t="n">
        <x:v>2027</x:v>
      </x:c>
      <x:c r="D27" s="20" t="n">
        <x:f>0</x:f>
        <x:v>0</x:v>
      </x:c>
      <x:c r="E27" s="20" t="n">
        <x:f>0</x:f>
        <x:v>0</x:v>
      </x:c>
      <x:c r="F27" s="20" t="n">
        <x:f>0</x:f>
        <x:v>0</x:v>
      </x:c>
      <x:c r="G27" s="20" t="n">
        <x:f>D27+F27</x:f>
        <x:v>0</x:v>
      </x:c>
      <x:c r="H27" s="20" t="n">
        <x:f>E27</x:f>
        <x:v>0</x:v>
      </x:c>
      <x:c r="I27" s="20" t="n">
        <x:f>MAX(0,G27-H27)</x:f>
        <x:v>0</x:v>
      </x:c>
      <x:c r="J27" s="39" t="n">
        <x:f>0</x:f>
        <x:v>0</x:v>
      </x:c>
      <x:c r="K27" s="39" t="n">
        <x:f>IF(I27-(0)&gt;0.000000001,J27,0)</x:f>
        <x:v>0</x:v>
      </x:c>
      <x:c r="L27" s="24" t="n">
        <x:f>IF(SUM(K$26:K$35)&gt;0,MIN(MAX(0,I27-(0)),MAX(0,'Расчет'!D17-(0))*K27/SUM(K$26:K$35)),0)</x:f>
        <x:v>0</x:v>
      </x:c>
      <x:c r="M27" s="20" t="n">
        <x:f>IF(I27-(L27)&gt;0.000000001,J27,0)</x:f>
        <x:v>0</x:v>
      </x:c>
      <x:c r="N27" s="24" t="n">
        <x:f>IF(SUM(M$26:M$35)&gt;0,MIN(MAX(0,I27-(L27)),MAX(0,'Расчет'!D17-(SUM(L26:L35)))*M27/SUM(M$26:M$35)),0)</x:f>
        <x:v>0</x:v>
      </x:c>
      <x:c r="O27" s="20" t="n">
        <x:f>IF(I27-(L27+N27)&gt;0.000000001,J27,0)</x:f>
        <x:v>0</x:v>
      </x:c>
      <x:c r="P27" s="24" t="n">
        <x:f>IF(SUM(O$26:O$35)&gt;0,MIN(MAX(0,I27-(L27+N27)),MAX(0,'Расчет'!D17-(SUM(L26:L35)+SUM(N26:N35)))*O27/SUM(O$26:O$35)),0)</x:f>
        <x:v>0</x:v>
      </x:c>
      <x:c r="Q27" s="20" t="n">
        <x:f>IF(I27-(L27+N27+P27)&gt;0.000000001,J27,0)</x:f>
        <x:v>0</x:v>
      </x:c>
      <x:c r="R27" s="24" t="n">
        <x:f>IF(SUM(Q$26:Q$35)&gt;0,MIN(MAX(0,I27-(L27+N27+P27)),MAX(0,'Расчет'!D17-(SUM(L26:L35)+SUM(N26:N35)+SUM(P26:P35)))*Q27/SUM(Q$26:Q$35)),0)</x:f>
        <x:v>0</x:v>
      </x:c>
      <x:c r="S27" s="20" t="n">
        <x:f>IF(I27-(L27+N27+P27+R27)&gt;0.000000001,J27,0)</x:f>
        <x:v>0</x:v>
      </x:c>
      <x:c r="T27" s="24" t="n">
        <x:f>IF(SUM(S$26:S$35)&gt;0,MIN(MAX(0,I27-(L27+N27+P27+R27)),MAX(0,'Расчет'!D17-(SUM(L26:L35)+SUM(N26:N35)+SUM(P26:P35)+SUM(R26:R35)))*S27/SUM(S$26:S$35)),0)</x:f>
        <x:v>0</x:v>
      </x:c>
      <x:c r="U27" s="20" t="n">
        <x:f>SUM(L27,N27,P27,R27,T27)</x:f>
        <x:v>0</x:v>
      </x:c>
      <x:c r="V27" s="20" t="n">
        <x:f>0</x:f>
        <x:v>0</x:v>
      </x:c>
      <x:c r="W27" s="20" t="n">
        <x:f>0</x:f>
        <x:v>0</x:v>
      </x:c>
      <x:c r="X27" s="20" t="n">
        <x:f>G27</x:f>
        <x:v>0</x:v>
      </x:c>
      <x:c r="Y27" s="20" t="n">
        <x:f>H27+U27</x:f>
        <x:v>0</x:v>
      </x:c>
      <x:c r="Z27" s="20" t="n">
        <x:f>G27-V27</x:f>
        <x:v>0</x:v>
      </x:c>
      <x:c r="AA27" s="20" t="n">
        <x:f>Y27-W27</x:f>
        <x:v>0</x:v>
      </x:c>
      <x:c r="AB27" s="20" t="n">
        <x:f>Z27-AA27</x:f>
        <x:v>0</x:v>
      </x:c>
    </x:row>
    <x:row r="28" ht="21" customHeight="1">
      <x:c r="A28" s="2" t="str">
        <x:v>Эконом/комфорт</x:v>
      </x:c>
      <x:c r="B28" s="12" t="n">
        <x:v>2028</x:v>
      </x:c>
      <x:c r="C28" s="12" t="n">
        <x:v>2028</x:v>
      </x:c>
      <x:c r="D28" s="20" t="n">
        <x:f>Z18+Z17</x:f>
        <x:v>2169.069465498658</x:v>
      </x:c>
      <x:c r="E28" s="20" t="n">
        <x:f>AA18+AA17</x:f>
        <x:v>1420.6568610840413</x:v>
      </x:c>
      <x:c r="F28" s="24" t="n">
        <x:f>'Расчет'!D8*'Допущения'!B24</x:f>
        <x:v>0</x:v>
      </x:c>
      <x:c r="G28" s="20" t="n">
        <x:f>D28+F28</x:f>
        <x:v>2169.069465498658</x:v>
      </x:c>
      <x:c r="H28" s="20" t="n">
        <x:f>E28</x:f>
        <x:v>1420.6568610840413</x:v>
      </x:c>
      <x:c r="I28" s="20" t="n">
        <x:f>MAX(0,G28-H28)</x:f>
        <x:v>748.4126044146165</x:v>
      </x:c>
      <x:c r="J28" s="38" t="n">
        <x:f>'Допущения'!B30</x:f>
        <x:v>0.1357</x:v>
      </x:c>
      <x:c r="K28" s="39" t="n">
        <x:f>IF(I28-(0)&gt;0.000000001,J28,0)</x:f>
        <x:v>0.1357</x:v>
      </x:c>
      <x:c r="L28" s="24" t="n">
        <x:f>IF(SUM(K$26:K$35)&gt;0,MIN(MAX(0,I28-(0)),MAX(0,'Расчет'!D17-(0))*K28/SUM(K$26:K$35)),0)</x:f>
        <x:v>159.92482228268014</x:v>
      </x:c>
      <x:c r="M28" s="20" t="n">
        <x:f>IF(I28-(L28)&gt;0.000000001,J28,0)</x:f>
        <x:v>0.1357</x:v>
      </x:c>
      <x:c r="N28" s="24" t="n">
        <x:f>IF(SUM(M$26:M$35)&gt;0,MIN(MAX(0,I28-(L28)),MAX(0,'Расчет'!D17-(SUM(L26:L35)))*M28/SUM(M$26:M$35)),0)</x:f>
        <x:v>0</x:v>
      </x:c>
      <x:c r="O28" s="20" t="n">
        <x:f>IF(I28-(L28+N28)&gt;0.000000001,J28,0)</x:f>
        <x:v>0.1357</x:v>
      </x:c>
      <x:c r="P28" s="24" t="n">
        <x:f>IF(SUM(O$26:O$35)&gt;0,MIN(MAX(0,I28-(L28+N28)),MAX(0,'Расчет'!D17-(SUM(L26:L35)+SUM(N26:N35)))*O28/SUM(O$26:O$35)),0)</x:f>
        <x:v>0</x:v>
      </x:c>
      <x:c r="Q28" s="20" t="n">
        <x:f>IF(I28-(L28+N28+P28)&gt;0.000000001,J28,0)</x:f>
        <x:v>0.1357</x:v>
      </x:c>
      <x:c r="R28" s="24" t="n">
        <x:f>IF(SUM(Q$26:Q$35)&gt;0,MIN(MAX(0,I28-(L28+N28+P28)),MAX(0,'Расчет'!D17-(SUM(L26:L35)+SUM(N26:N35)+SUM(P26:P35)))*Q28/SUM(Q$26:Q$35)),0)</x:f>
        <x:v>0</x:v>
      </x:c>
      <x:c r="S28" s="20" t="n">
        <x:f>IF(I28-(L28+N28+P28+R28)&gt;0.000000001,J28,0)</x:f>
        <x:v>0.1357</x:v>
      </x:c>
      <x:c r="T28" s="24" t="n">
        <x:f>IF(SUM(S$26:S$35)&gt;0,MIN(MAX(0,I28-(L28+N28+P28+R28)),MAX(0,'Расчет'!D17-(SUM(L26:L35)+SUM(N26:N35)+SUM(P26:P35)+SUM(R26:R35)))*S28/SUM(S$26:S$35)),0)</x:f>
        <x:v>0</x:v>
      </x:c>
      <x:c r="U28" s="20" t="n">
        <x:f>SUM(L28,N28,P28,R28,T28)</x:f>
        <x:v>159.92482228268014</x:v>
      </x:c>
      <x:c r="V28" s="24" t="n">
        <x:f>G28*(1-'Допущения'!D7)</x:f>
        <x:v>1952.162518948792</x:v>
      </x:c>
      <x:c r="W28" s="24" t="n">
        <x:f>Y28*(1-'Допущения'!D7)</x:f>
        <x:v>1422.5235150300493</x:v>
      </x:c>
      <x:c r="X28" s="20" t="n">
        <x:f>G28</x:f>
        <x:v>2169.069465498658</x:v>
      </x:c>
      <x:c r="Y28" s="20" t="n">
        <x:f>H28+U28</x:f>
        <x:v>1580.5816833667216</x:v>
      </x:c>
      <x:c r="Z28" s="20" t="n">
        <x:f>G28-V28</x:f>
        <x:v>216.90694654986578</x:v>
      </x:c>
      <x:c r="AA28" s="20" t="n">
        <x:f>Y28-W28</x:f>
        <x:v>158.05816833667222</x:v>
      </x:c>
      <x:c r="AB28" s="20" t="n">
        <x:f>Z28-AA28</x:f>
        <x:v>58.848778213193555</x:v>
      </x:c>
    </x:row>
    <x:row r="29" ht="21" customHeight="1">
      <x:c r="A29" s="2" t="str">
        <x:v>Эконом/комфорт</x:v>
      </x:c>
      <x:c r="B29" s="12" t="n">
        <x:v>2028</x:v>
      </x:c>
      <x:c r="C29" s="12" t="n">
        <x:v>2029</x:v>
      </x:c>
      <x:c r="D29" s="20" t="n">
        <x:f>Z19</x:f>
        <x:v>970.2812476665711</x:v>
      </x:c>
      <x:c r="E29" s="20" t="n">
        <x:f>AA19</x:f>
        <x:v>489.4407245254888</x:v>
      </x:c>
      <x:c r="F29" s="24" t="n">
        <x:f>'Расчет'!D8*'Допущения'!C24</x:f>
        <x:v>218.77660989992148</x:v>
      </x:c>
      <x:c r="G29" s="20" t="n">
        <x:f>D29+F29</x:f>
        <x:v>1189.0578575664927</x:v>
      </x:c>
      <x:c r="H29" s="20" t="n">
        <x:f>E29</x:f>
        <x:v>489.4407245254888</x:v>
      </x:c>
      <x:c r="I29" s="20" t="n">
        <x:f>MAX(0,G29-H29)</x:f>
        <x:v>699.6171330410039</x:v>
      </x:c>
      <x:c r="J29" s="38" t="n">
        <x:f>'Допущения'!C30</x:f>
        <x:v>0.3612</x:v>
      </x:c>
      <x:c r="K29" s="39" t="n">
        <x:f>IF(I29-(0)&gt;0.000000001,J29,0)</x:f>
        <x:v>0.3612</x:v>
      </x:c>
      <x:c r="L29" s="24" t="n">
        <x:f>IF(SUM(K$26:K$35)&gt;0,MIN(MAX(0,I29-(0)),MAX(0,'Расчет'!D17-(0))*K29/SUM(K$26:K$35)),0)</x:f>
        <x:v>425.68051443260185</x:v>
      </x:c>
      <x:c r="M29" s="20" t="n">
        <x:f>IF(I29-(L29)&gt;0.000000001,J29,0)</x:f>
        <x:v>0.3612</x:v>
      </x:c>
      <x:c r="N29" s="24" t="n">
        <x:f>IF(SUM(M$26:M$35)&gt;0,MIN(MAX(0,I29-(L29)),MAX(0,'Расчет'!D17-(SUM(L26:L35)))*M29/SUM(M$26:M$35)),0)</x:f>
        <x:v>0</x:v>
      </x:c>
      <x:c r="O29" s="20" t="n">
        <x:f>IF(I29-(L29+N29)&gt;0.000000001,J29,0)</x:f>
        <x:v>0.3612</x:v>
      </x:c>
      <x:c r="P29" s="24" t="n">
        <x:f>IF(SUM(O$26:O$35)&gt;0,MIN(MAX(0,I29-(L29+N29)),MAX(0,'Расчет'!D17-(SUM(L26:L35)+SUM(N26:N35)))*O29/SUM(O$26:O$35)),0)</x:f>
        <x:v>0</x:v>
      </x:c>
      <x:c r="Q29" s="20" t="n">
        <x:f>IF(I29-(L29+N29+P29)&gt;0.000000001,J29,0)</x:f>
        <x:v>0.3612</x:v>
      </x:c>
      <x:c r="R29" s="24" t="n">
        <x:f>IF(SUM(Q$26:Q$35)&gt;0,MIN(MAX(0,I29-(L29+N29+P29)),MAX(0,'Расчет'!D17-(SUM(L26:L35)+SUM(N26:N35)+SUM(P26:P35)))*Q29/SUM(Q$26:Q$35)),0)</x:f>
        <x:v>0</x:v>
      </x:c>
      <x:c r="S29" s="20" t="n">
        <x:f>IF(I29-(L29+N29+P29+R29)&gt;0.000000001,J29,0)</x:f>
        <x:v>0.3612</x:v>
      </x:c>
      <x:c r="T29" s="24" t="n">
        <x:f>IF(SUM(S$26:S$35)&gt;0,MIN(MAX(0,I29-(L29+N29+P29+R29)),MAX(0,'Расчет'!D17-(SUM(L26:L35)+SUM(N26:N35)+SUM(P26:P35)+SUM(R26:R35)))*S29/SUM(S$26:S$35)),0)</x:f>
        <x:v>0</x:v>
      </x:c>
      <x:c r="U29" s="20" t="n">
        <x:f>SUM(L29,N29,P29,R29,T29)</x:f>
        <x:v>425.68051443260185</x:v>
      </x:c>
      <x:c r="V29" s="20" t="n">
        <x:f>0</x:f>
        <x:v>0</x:v>
      </x:c>
      <x:c r="W29" s="20" t="n">
        <x:f>0</x:f>
        <x:v>0</x:v>
      </x:c>
      <x:c r="X29" s="20" t="n">
        <x:f>G29</x:f>
        <x:v>1189.0578575664927</x:v>
      </x:c>
      <x:c r="Y29" s="20" t="n">
        <x:f>H29+U29</x:f>
        <x:v>915.1212389580907</x:v>
      </x:c>
      <x:c r="Z29" s="20" t="n">
        <x:f>G29-V29</x:f>
        <x:v>1189.0578575664927</x:v>
      </x:c>
      <x:c r="AA29" s="20" t="n">
        <x:f>Y29-W29</x:f>
        <x:v>915.1212389580907</x:v>
      </x:c>
      <x:c r="AB29" s="20" t="n">
        <x:f>Z29-AA29</x:f>
        <x:v>273.936618608402</x:v>
      </x:c>
    </x:row>
    <x:row r="30" ht="21" customHeight="1">
      <x:c r="A30" s="2" t="str">
        <x:v>Эконом/комфорт</x:v>
      </x:c>
      <x:c r="B30" s="12" t="n">
        <x:v>2028</x:v>
      </x:c>
      <x:c r="C30" s="12" t="n">
        <x:v>2030</x:v>
      </x:c>
      <x:c r="D30" s="20" t="n">
        <x:f>Z20</x:f>
        <x:v>474.4096713925948</x:v>
      </x:c>
      <x:c r="E30" s="20" t="n">
        <x:f>AA20</x:f>
        <x:v>177.43296307066942</x:v>
      </x:c>
      <x:c r="F30" s="24" t="n">
        <x:f>'Расчет'!D8*'Допущения'!D24</x:f>
        <x:v>468.55272215303324</x:v>
      </x:c>
      <x:c r="G30" s="20" t="n">
        <x:f>D30+F30</x:f>
        <x:v>942.9623935456281</x:v>
      </x:c>
      <x:c r="H30" s="20" t="n">
        <x:f>E30</x:f>
        <x:v>177.43296307066942</x:v>
      </x:c>
      <x:c r="I30" s="20" t="n">
        <x:f>MAX(0,G30-H30)</x:f>
        <x:v>765.5294304749586</x:v>
      </x:c>
      <x:c r="J30" s="38" t="n">
        <x:f>'Допущения'!D30</x:f>
        <x:v>0.3111</x:v>
      </x:c>
      <x:c r="K30" s="39" t="n">
        <x:f>IF(I30-(0)&gt;0.000000001,J30,0)</x:f>
        <x:v>0.3111</x:v>
      </x:c>
      <x:c r="L30" s="24" t="n">
        <x:f>IF(SUM(K$26:K$35)&gt;0,MIN(MAX(0,I30-(0)),MAX(0,'Расчет'!D17-(0))*K30/SUM(K$26:K$35)),0)</x:f>
        <x:v>366.6367885935283</x:v>
      </x:c>
      <x:c r="M30" s="20" t="n">
        <x:f>IF(I30-(L30)&gt;0.000000001,J30,0)</x:f>
        <x:v>0.3111</x:v>
      </x:c>
      <x:c r="N30" s="24" t="n">
        <x:f>IF(SUM(M$26:M$35)&gt;0,MIN(MAX(0,I30-(L30)),MAX(0,'Расчет'!D17-(SUM(L26:L35)))*M30/SUM(M$26:M$35)),0)</x:f>
        <x:v>0</x:v>
      </x:c>
      <x:c r="O30" s="20" t="n">
        <x:f>IF(I30-(L30+N30)&gt;0.000000001,J30,0)</x:f>
        <x:v>0.3111</x:v>
      </x:c>
      <x:c r="P30" s="24" t="n">
        <x:f>IF(SUM(O$26:O$35)&gt;0,MIN(MAX(0,I30-(L30+N30)),MAX(0,'Расчет'!D17-(SUM(L26:L35)+SUM(N26:N35)))*O30/SUM(O$26:O$35)),0)</x:f>
        <x:v>0</x:v>
      </x:c>
      <x:c r="Q30" s="20" t="n">
        <x:f>IF(I30-(L30+N30+P30)&gt;0.000000001,J30,0)</x:f>
        <x:v>0.3111</x:v>
      </x:c>
      <x:c r="R30" s="24" t="n">
        <x:f>IF(SUM(Q$26:Q$35)&gt;0,MIN(MAX(0,I30-(L30+N30+P30)),MAX(0,'Расчет'!D17-(SUM(L26:L35)+SUM(N26:N35)+SUM(P26:P35)))*Q30/SUM(Q$26:Q$35)),0)</x:f>
        <x:v>0</x:v>
      </x:c>
      <x:c r="S30" s="20" t="n">
        <x:f>IF(I30-(L30+N30+P30+R30)&gt;0.000000001,J30,0)</x:f>
        <x:v>0.3111</x:v>
      </x:c>
      <x:c r="T30" s="24" t="n">
        <x:f>IF(SUM(S$26:S$35)&gt;0,MIN(MAX(0,I30-(L30+N30+P30+R30)),MAX(0,'Расчет'!D17-(SUM(L26:L35)+SUM(N26:N35)+SUM(P26:P35)+SUM(R26:R35)))*S30/SUM(S$26:S$35)),0)</x:f>
        <x:v>0</x:v>
      </x:c>
      <x:c r="U30" s="20" t="n">
        <x:f>SUM(L30,N30,P30,R30,T30)</x:f>
        <x:v>366.6367885935283</x:v>
      </x:c>
      <x:c r="V30" s="20" t="n">
        <x:f>0</x:f>
        <x:v>0</x:v>
      </x:c>
      <x:c r="W30" s="20" t="n">
        <x:f>0</x:f>
        <x:v>0</x:v>
      </x:c>
      <x:c r="X30" s="20" t="n">
        <x:f>G30</x:f>
        <x:v>942.9623935456281</x:v>
      </x:c>
      <x:c r="Y30" s="20" t="n">
        <x:f>H30+U30</x:f>
        <x:v>544.0697516641977</x:v>
      </x:c>
      <x:c r="Z30" s="20" t="n">
        <x:f>G30-V30</x:f>
        <x:v>942.9623935456281</x:v>
      </x:c>
      <x:c r="AA30" s="20" t="n">
        <x:f>Y30-W30</x:f>
        <x:v>544.0697516641977</x:v>
      </x:c>
      <x:c r="AB30" s="20" t="n">
        <x:f>Z30-AA30</x:f>
        <x:v>398.89264188143034</x:v>
      </x:c>
    </x:row>
    <x:row r="31" ht="21" customHeight="1">
      <x:c r="A31" s="2" t="str">
        <x:v>Эконом/комфорт</x:v>
      </x:c>
      <x:c r="B31" s="12" t="n">
        <x:v>2028</x:v>
      </x:c>
      <x:c r="C31" s="12" t="n">
        <x:v>2031</x:v>
      </x:c>
      <x:c r="D31" s="20" t="n">
        <x:f>Z21</x:f>
        <x:v>72.24951138601224</x:v>
      </x:c>
      <x:c r="E31" s="20" t="n">
        <x:f>AA21</x:f>
        <x:v>47.61144679422706</x:v>
      </x:c>
      <x:c r="F31" s="24" t="n">
        <x:f>'Расчет'!D8*'Допущения'!E24</x:f>
        <x:v>446.92670535500076</x:v>
      </x:c>
      <x:c r="G31" s="20" t="n">
        <x:f>D31+F31</x:f>
        <x:v>519.176216741013</x:v>
      </x:c>
      <x:c r="H31" s="20" t="n">
        <x:f>E31</x:f>
        <x:v>47.61144679422706</x:v>
      </x:c>
      <x:c r="I31" s="20" t="n">
        <x:f>MAX(0,G31-H31)</x:f>
        <x:v>471.564769946786</x:v>
      </x:c>
      <x:c r="J31" s="38" t="n">
        <x:f>'Допущения'!E30</x:f>
        <x:v>0.1495</x:v>
      </x:c>
      <x:c r="K31" s="39" t="n">
        <x:f>IF(I31-(0)&gt;0.000000001,J31,0)</x:f>
        <x:v>0.1495</x:v>
      </x:c>
      <x:c r="L31" s="24" t="n">
        <x:f>IF(SUM(K$26:K$35)&gt;0,MIN(MAX(0,I31-(0)),MAX(0,'Расчет'!D17-(0))*K31/SUM(K$26:K$35)),0)</x:f>
        <x:v>176.18836353176627</x:v>
      </x:c>
      <x:c r="M31" s="20" t="n">
        <x:f>IF(I31-(L31)&gt;0.000000001,J31,0)</x:f>
        <x:v>0.1495</x:v>
      </x:c>
      <x:c r="N31" s="24" t="n">
        <x:f>IF(SUM(M$26:M$35)&gt;0,MIN(MAX(0,I31-(L31)),MAX(0,'Расчет'!D17-(SUM(L26:L35)))*M31/SUM(M$26:M$35)),0)</x:f>
        <x:v>0</x:v>
      </x:c>
      <x:c r="O31" s="20" t="n">
        <x:f>IF(I31-(L31+N31)&gt;0.000000001,J31,0)</x:f>
        <x:v>0.1495</x:v>
      </x:c>
      <x:c r="P31" s="24" t="n">
        <x:f>IF(SUM(O$26:O$35)&gt;0,MIN(MAX(0,I31-(L31+N31)),MAX(0,'Расчет'!D17-(SUM(L26:L35)+SUM(N26:N35)))*O31/SUM(O$26:O$35)),0)</x:f>
        <x:v>0</x:v>
      </x:c>
      <x:c r="Q31" s="20" t="n">
        <x:f>IF(I31-(L31+N31+P31)&gt;0.000000001,J31,0)</x:f>
        <x:v>0.1495</x:v>
      </x:c>
      <x:c r="R31" s="24" t="n">
        <x:f>IF(SUM(Q$26:Q$35)&gt;0,MIN(MAX(0,I31-(L31+N31+P31)),MAX(0,'Расчет'!D17-(SUM(L26:L35)+SUM(N26:N35)+SUM(P26:P35)))*Q31/SUM(Q$26:Q$35)),0)</x:f>
        <x:v>0</x:v>
      </x:c>
      <x:c r="S31" s="20" t="n">
        <x:f>IF(I31-(L31+N31+P31+R31)&gt;0.000000001,J31,0)</x:f>
        <x:v>0.1495</x:v>
      </x:c>
      <x:c r="T31" s="24" t="n">
        <x:f>IF(SUM(S$26:S$35)&gt;0,MIN(MAX(0,I31-(L31+N31+P31+R31)),MAX(0,'Расчет'!D17-(SUM(L26:L35)+SUM(N26:N35)+SUM(P26:P35)+SUM(R26:R35)))*S31/SUM(S$26:S$35)),0)</x:f>
        <x:v>0</x:v>
      </x:c>
      <x:c r="U31" s="20" t="n">
        <x:f>SUM(L31,N31,P31,R31,T31)</x:f>
        <x:v>176.18836353176627</x:v>
      </x:c>
      <x:c r="V31" s="20" t="n">
        <x:f>0</x:f>
        <x:v>0</x:v>
      </x:c>
      <x:c r="W31" s="20" t="n">
        <x:f>0</x:f>
        <x:v>0</x:v>
      </x:c>
      <x:c r="X31" s="20" t="n">
        <x:f>G31</x:f>
        <x:v>519.176216741013</x:v>
      </x:c>
      <x:c r="Y31" s="20" t="n">
        <x:f>H31+U31</x:f>
        <x:v>223.79981032599332</x:v>
      </x:c>
      <x:c r="Z31" s="20" t="n">
        <x:f>G31-V31</x:f>
        <x:v>519.176216741013</x:v>
      </x:c>
      <x:c r="AA31" s="20" t="n">
        <x:f>Y31-W31</x:f>
        <x:v>223.79981032599332</x:v>
      </x:c>
      <x:c r="AB31" s="20" t="n">
        <x:f>Z31-AA31</x:f>
        <x:v>295.3764064150197</x:v>
      </x:c>
    </x:row>
    <x:row r="32" ht="21" customHeight="1">
      <x:c r="A32" s="2" t="str">
        <x:v>Эконом/комфорт</x:v>
      </x:c>
      <x:c r="B32" s="12" t="n">
        <x:v>2028</x:v>
      </x:c>
      <x:c r="C32" s="12" t="n">
        <x:v>2032</x:v>
      </x:c>
      <x:c r="D32" s="20" t="n">
        <x:f>Z22</x:f>
        <x:v>13.967561162731812</x:v>
      </x:c>
      <x:c r="E32" s="20" t="n">
        <x:f>AA22</x:f>
        <x:v>0</x:v>
      </x:c>
      <x:c r="F32" s="24" t="n">
        <x:f>'Расчет'!D8*'Допущения'!F24</x:f>
        <x:v>78.51770890928958</x:v>
      </x:c>
      <x:c r="G32" s="20" t="n">
        <x:f>D32+F32</x:f>
        <x:v>92.4852700720214</x:v>
      </x:c>
      <x:c r="H32" s="20" t="n">
        <x:f>E32</x:f>
        <x:v>0</x:v>
      </x:c>
      <x:c r="I32" s="20" t="n">
        <x:f>MAX(0,G32-H32)</x:f>
        <x:v>92.4852700720214</x:v>
      </x:c>
      <x:c r="J32" s="38" t="n">
        <x:f>'Допущения'!F30</x:f>
        <x:v>0.0425</x:v>
      </x:c>
      <x:c r="K32" s="39" t="n">
        <x:f>IF(I32-(0)&gt;0.000000001,J32,0)</x:f>
        <x:v>0.0425</x:v>
      </x:c>
      <x:c r="L32" s="24" t="n">
        <x:f>IF(SUM(K$26:K$35)&gt;0,MIN(MAX(0,I32-(0)),MAX(0,'Расчет'!D17-(0))*K32/SUM(K$26:K$35)),0)</x:f>
        <x:v>50.08699297725797</x:v>
      </x:c>
      <x:c r="M32" s="20" t="n">
        <x:f>IF(I32-(L32)&gt;0.000000001,J32,0)</x:f>
        <x:v>0.0425</x:v>
      </x:c>
      <x:c r="N32" s="24" t="n">
        <x:f>IF(SUM(M$26:M$35)&gt;0,MIN(MAX(0,I32-(L32)),MAX(0,'Расчет'!D17-(SUM(L26:L35)))*M32/SUM(M$26:M$35)),0)</x:f>
        <x:v>0</x:v>
      </x:c>
      <x:c r="O32" s="20" t="n">
        <x:f>IF(I32-(L32+N32)&gt;0.000000001,J32,0)</x:f>
        <x:v>0.0425</x:v>
      </x:c>
      <x:c r="P32" s="24" t="n">
        <x:f>IF(SUM(O$26:O$35)&gt;0,MIN(MAX(0,I32-(L32+N32)),MAX(0,'Расчет'!D17-(SUM(L26:L35)+SUM(N26:N35)))*O32/SUM(O$26:O$35)),0)</x:f>
        <x:v>0</x:v>
      </x:c>
      <x:c r="Q32" s="20" t="n">
        <x:f>IF(I32-(L32+N32+P32)&gt;0.000000001,J32,0)</x:f>
        <x:v>0.0425</x:v>
      </x:c>
      <x:c r="R32" s="24" t="n">
        <x:f>IF(SUM(Q$26:Q$35)&gt;0,MIN(MAX(0,I32-(L32+N32+P32)),MAX(0,'Расчет'!D17-(SUM(L26:L35)+SUM(N26:N35)+SUM(P26:P35)))*Q32/SUM(Q$26:Q$35)),0)</x:f>
        <x:v>0</x:v>
      </x:c>
      <x:c r="S32" s="20" t="n">
        <x:f>IF(I32-(L32+N32+P32+R32)&gt;0.000000001,J32,0)</x:f>
        <x:v>0.0425</x:v>
      </x:c>
      <x:c r="T32" s="24" t="n">
        <x:f>IF(SUM(S$26:S$35)&gt;0,MIN(MAX(0,I32-(L32+N32+P32+R32)),MAX(0,'Расчет'!D17-(SUM(L26:L35)+SUM(N26:N35)+SUM(P26:P35)+SUM(R26:R35)))*S32/SUM(S$26:S$35)),0)</x:f>
        <x:v>0</x:v>
      </x:c>
      <x:c r="U32" s="20" t="n">
        <x:f>SUM(L32,N32,P32,R32,T32)</x:f>
        <x:v>50.08699297725797</x:v>
      </x:c>
      <x:c r="V32" s="20" t="n">
        <x:f>0</x:f>
        <x:v>0</x:v>
      </x:c>
      <x:c r="W32" s="20" t="n">
        <x:f>0</x:f>
        <x:v>0</x:v>
      </x:c>
      <x:c r="X32" s="20" t="n">
        <x:f>G32</x:f>
        <x:v>92.4852700720214</x:v>
      </x:c>
      <x:c r="Y32" s="20" t="n">
        <x:f>H32+U32</x:f>
        <x:v>50.08699297725797</x:v>
      </x:c>
      <x:c r="Z32" s="20" t="n">
        <x:f>G32-V32</x:f>
        <x:v>92.4852700720214</x:v>
      </x:c>
      <x:c r="AA32" s="20" t="n">
        <x:f>Y32-W32</x:f>
        <x:v>50.08699297725797</x:v>
      </x:c>
      <x:c r="AB32" s="20" t="n">
        <x:f>Z32-AA32</x:f>
        <x:v>42.39827709476342</x:v>
      </x:c>
    </x:row>
    <x:row r="33" ht="21" customHeight="1">
      <x:c r="A33" s="2" t="str">
        <x:v>Эконом/комфорт</x:v>
      </x:c>
      <x:c r="B33" s="12" t="n">
        <x:v>2028</x:v>
      </x:c>
      <x:c r="C33" s="12" t="n">
        <x:v>2033</x:v>
      </x:c>
      <x:c r="D33" s="20" t="n">
        <x:f>Z23</x:f>
        <x:v>0</x:v>
      </x:c>
      <x:c r="E33" s="20" t="n">
        <x:f>AA23</x:f>
        <x:v>0</x:v>
      </x:c>
      <x:c r="F33" s="24" t="n">
        <x:f>'Расчет'!D8*'Допущения'!G24</x:f>
        <x:v>15.755265916377988</x:v>
      </x:c>
      <x:c r="G33" s="20" t="n">
        <x:f>D33+F33</x:f>
        <x:v>15.755265916377988</x:v>
      </x:c>
      <x:c r="H33" s="20" t="n">
        <x:f>E33</x:f>
        <x:v>0</x:v>
      </x:c>
      <x:c r="I33" s="20" t="n">
        <x:f>MAX(0,G33-H33)</x:f>
        <x:v>15.755265916377988</x:v>
      </x:c>
      <x:c r="J33" s="39" t="n">
        <x:f>0</x:f>
        <x:v>0</x:v>
      </x:c>
      <x:c r="K33" s="39" t="n">
        <x:f>IF(I33-(0)&gt;0.000000001,J33,0)</x:f>
        <x:v>0</x:v>
      </x:c>
      <x:c r="L33" s="24" t="n">
        <x:f>IF(SUM(K$26:K$35)&gt;0,MIN(MAX(0,I33-(0)),MAX(0,'Расчет'!D17-(0))*K33/SUM(K$26:K$35)),0)</x:f>
        <x:v>0</x:v>
      </x:c>
      <x:c r="M33" s="20" t="n">
        <x:f>IF(I33-(L33)&gt;0.000000001,J33,0)</x:f>
        <x:v>0</x:v>
      </x:c>
      <x:c r="N33" s="24" t="n">
        <x:f>IF(SUM(M$26:M$35)&gt;0,MIN(MAX(0,I33-(L33)),MAX(0,'Расчет'!D17-(SUM(L26:L35)))*M33/SUM(M$26:M$35)),0)</x:f>
        <x:v>0</x:v>
      </x:c>
      <x:c r="O33" s="20" t="n">
        <x:f>IF(I33-(L33+N33)&gt;0.000000001,J33,0)</x:f>
        <x:v>0</x:v>
      </x:c>
      <x:c r="P33" s="24" t="n">
        <x:f>IF(SUM(O$26:O$35)&gt;0,MIN(MAX(0,I33-(L33+N33)),MAX(0,'Расчет'!D17-(SUM(L26:L35)+SUM(N26:N35)))*O33/SUM(O$26:O$35)),0)</x:f>
        <x:v>0</x:v>
      </x:c>
      <x:c r="Q33" s="20" t="n">
        <x:f>IF(I33-(L33+N33+P33)&gt;0.000000001,J33,0)</x:f>
        <x:v>0</x:v>
      </x:c>
      <x:c r="R33" s="24" t="n">
        <x:f>IF(SUM(Q$26:Q$35)&gt;0,MIN(MAX(0,I33-(L33+N33+P33)),MAX(0,'Расчет'!D17-(SUM(L26:L35)+SUM(N26:N35)+SUM(P26:P35)))*Q33/SUM(Q$26:Q$35)),0)</x:f>
        <x:v>0</x:v>
      </x:c>
      <x:c r="S33" s="20" t="n">
        <x:f>IF(I33-(L33+N33+P33+R33)&gt;0.000000001,J33,0)</x:f>
        <x:v>0</x:v>
      </x:c>
      <x:c r="T33" s="24" t="n">
        <x:f>IF(SUM(S$26:S$35)&gt;0,MIN(MAX(0,I33-(L33+N33+P33+R33)),MAX(0,'Расчет'!D17-(SUM(L26:L35)+SUM(N26:N35)+SUM(P26:P35)+SUM(R26:R35)))*S33/SUM(S$26:S$35)),0)</x:f>
        <x:v>0</x:v>
      </x:c>
      <x:c r="U33" s="20" t="n">
        <x:f>SUM(L33,N33,P33,R33,T33)</x:f>
        <x:v>0</x:v>
      </x:c>
      <x:c r="V33" s="20" t="n">
        <x:f>0</x:f>
        <x:v>0</x:v>
      </x:c>
      <x:c r="W33" s="20" t="n">
        <x:f>0</x:f>
        <x:v>0</x:v>
      </x:c>
      <x:c r="X33" s="20" t="n">
        <x:f>G33</x:f>
        <x:v>15.755265916377988</x:v>
      </x:c>
      <x:c r="Y33" s="20" t="n">
        <x:f>H33+U33</x:f>
        <x:v>0</x:v>
      </x:c>
      <x:c r="Z33" s="20" t="n">
        <x:f>G33-V33</x:f>
        <x:v>15.755265916377988</x:v>
      </x:c>
      <x:c r="AA33" s="20" t="n">
        <x:f>Y33-W33</x:f>
        <x:v>0</x:v>
      </x:c>
      <x:c r="AB33" s="20" t="n">
        <x:f>Z33-AA33</x:f>
        <x:v>15.755265916377988</x:v>
      </x:c>
    </x:row>
    <x:row r="34" ht="21" customHeight="1">
      <x:c r="A34" s="2" t="str">
        <x:v>Эконом/комфорт</x:v>
      </x:c>
      <x:c r="B34" s="12" t="n">
        <x:v>2028</x:v>
      </x:c>
      <x:c r="C34" s="12" t="n">
        <x:v>2034</x:v>
      </x:c>
      <x:c r="D34" s="20" t="n">
        <x:f>Z24</x:f>
        <x:v>0</x:v>
      </x:c>
      <x:c r="E34" s="20" t="n">
        <x:f>AA24</x:f>
        <x:v>0</x:v>
      </x:c>
      <x:c r="F34" s="20" t="n">
        <x:f>0</x:f>
        <x:v>0</x:v>
      </x:c>
      <x:c r="G34" s="20" t="n">
        <x:f>D34+F34</x:f>
        <x:v>0</x:v>
      </x:c>
      <x:c r="H34" s="20" t="n">
        <x:f>E34</x:f>
        <x:v>0</x:v>
      </x:c>
      <x:c r="I34" s="20" t="n">
        <x:f>MAX(0,G34-H34)</x:f>
        <x:v>0</x:v>
      </x:c>
      <x:c r="J34" s="39" t="n">
        <x:f>0</x:f>
        <x:v>0</x:v>
      </x:c>
      <x:c r="K34" s="39" t="n">
        <x:f>IF(I34-(0)&gt;0.000000001,J34,0)</x:f>
        <x:v>0</x:v>
      </x:c>
      <x:c r="L34" s="24" t="n">
        <x:f>IF(SUM(K$26:K$35)&gt;0,MIN(MAX(0,I34-(0)),MAX(0,'Расчет'!D17-(0))*K34/SUM(K$26:K$35)),0)</x:f>
        <x:v>0</x:v>
      </x:c>
      <x:c r="M34" s="20" t="n">
        <x:f>IF(I34-(L34)&gt;0.000000001,J34,0)</x:f>
        <x:v>0</x:v>
      </x:c>
      <x:c r="N34" s="24" t="n">
        <x:f>IF(SUM(M$26:M$35)&gt;0,MIN(MAX(0,I34-(L34)),MAX(0,'Расчет'!D17-(SUM(L26:L35)))*M34/SUM(M$26:M$35)),0)</x:f>
        <x:v>0</x:v>
      </x:c>
      <x:c r="O34" s="20" t="n">
        <x:f>IF(I34-(L34+N34)&gt;0.000000001,J34,0)</x:f>
        <x:v>0</x:v>
      </x:c>
      <x:c r="P34" s="24" t="n">
        <x:f>IF(SUM(O$26:O$35)&gt;0,MIN(MAX(0,I34-(L34+N34)),MAX(0,'Расчет'!D17-(SUM(L26:L35)+SUM(N26:N35)))*O34/SUM(O$26:O$35)),0)</x:f>
        <x:v>0</x:v>
      </x:c>
      <x:c r="Q34" s="20" t="n">
        <x:f>IF(I34-(L34+N34+P34)&gt;0.000000001,J34,0)</x:f>
        <x:v>0</x:v>
      </x:c>
      <x:c r="R34" s="24" t="n">
        <x:f>IF(SUM(Q$26:Q$35)&gt;0,MIN(MAX(0,I34-(L34+N34+P34)),MAX(0,'Расчет'!D17-(SUM(L26:L35)+SUM(N26:N35)+SUM(P26:P35)))*Q34/SUM(Q$26:Q$35)),0)</x:f>
        <x:v>0</x:v>
      </x:c>
      <x:c r="S34" s="20" t="n">
        <x:f>IF(I34-(L34+N34+P34+R34)&gt;0.000000001,J34,0)</x:f>
        <x:v>0</x:v>
      </x:c>
      <x:c r="T34" s="24" t="n">
        <x:f>IF(SUM(S$26:S$35)&gt;0,MIN(MAX(0,I34-(L34+N34+P34+R34)),MAX(0,'Расчет'!D17-(SUM(L26:L35)+SUM(N26:N35)+SUM(P26:P35)+SUM(R26:R35)))*S34/SUM(S$26:S$35)),0)</x:f>
        <x:v>0</x:v>
      </x:c>
      <x:c r="U34" s="20" t="n">
        <x:f>SUM(L34,N34,P34,R34,T34)</x:f>
        <x:v>0</x:v>
      </x:c>
      <x:c r="V34" s="20" t="n">
        <x:f>0</x:f>
        <x:v>0</x:v>
      </x:c>
      <x:c r="W34" s="20" t="n">
        <x:f>0</x:f>
        <x:v>0</x:v>
      </x:c>
      <x:c r="X34" s="20" t="n">
        <x:f>G34</x:f>
        <x:v>0</x:v>
      </x:c>
      <x:c r="Y34" s="20" t="n">
        <x:f>H34+U34</x:f>
        <x:v>0</x:v>
      </x:c>
      <x:c r="Z34" s="20" t="n">
        <x:f>G34-V34</x:f>
        <x:v>0</x:v>
      </x:c>
      <x:c r="AA34" s="20" t="n">
        <x:f>Y34-W34</x:f>
        <x:v>0</x:v>
      </x:c>
      <x:c r="AB34" s="20" t="n">
        <x:f>Z34-AA34</x:f>
        <x:v>0</x:v>
      </x:c>
    </x:row>
    <x:row r="35" ht="21" customHeight="1">
      <x:c r="A35" s="2" t="str">
        <x:v>Эконом/комфорт</x:v>
      </x:c>
      <x:c r="B35" s="12" t="n">
        <x:v>2028</x:v>
      </x:c>
      <x:c r="C35" s="12" t="n">
        <x:v>2035</x:v>
      </x:c>
      <x:c r="D35" s="20" t="n">
        <x:f>Z25</x:f>
        <x:v>0</x:v>
      </x:c>
      <x:c r="E35" s="20" t="n">
        <x:f>AA25</x:f>
        <x:v>0</x:v>
      </x:c>
      <x:c r="F35" s="20" t="n">
        <x:f>0</x:f>
        <x:v>0</x:v>
      </x:c>
      <x:c r="G35" s="20" t="n">
        <x:f>D35+F35</x:f>
        <x:v>0</x:v>
      </x:c>
      <x:c r="H35" s="20" t="n">
        <x:f>E35</x:f>
        <x:v>0</x:v>
      </x:c>
      <x:c r="I35" s="20" t="n">
        <x:f>MAX(0,G35-H35)</x:f>
        <x:v>0</x:v>
      </x:c>
      <x:c r="J35" s="39" t="n">
        <x:f>0</x:f>
        <x:v>0</x:v>
      </x:c>
      <x:c r="K35" s="39" t="n">
        <x:f>IF(I35-(0)&gt;0.000000001,J35,0)</x:f>
        <x:v>0</x:v>
      </x:c>
      <x:c r="L35" s="24" t="n">
        <x:f>IF(SUM(K$26:K$35)&gt;0,MIN(MAX(0,I35-(0)),MAX(0,'Расчет'!D17-(0))*K35/SUM(K$26:K$35)),0)</x:f>
        <x:v>0</x:v>
      </x:c>
      <x:c r="M35" s="20" t="n">
        <x:f>IF(I35-(L35)&gt;0.000000001,J35,0)</x:f>
        <x:v>0</x:v>
      </x:c>
      <x:c r="N35" s="24" t="n">
        <x:f>IF(SUM(M$26:M$35)&gt;0,MIN(MAX(0,I35-(L35)),MAX(0,'Расчет'!D17-(SUM(L26:L35)))*M35/SUM(M$26:M$35)),0)</x:f>
        <x:v>0</x:v>
      </x:c>
      <x:c r="O35" s="20" t="n">
        <x:f>IF(I35-(L35+N35)&gt;0.000000001,J35,0)</x:f>
        <x:v>0</x:v>
      </x:c>
      <x:c r="P35" s="24" t="n">
        <x:f>IF(SUM(O$26:O$35)&gt;0,MIN(MAX(0,I35-(L35+N35)),MAX(0,'Расчет'!D17-(SUM(L26:L35)+SUM(N26:N35)))*O35/SUM(O$26:O$35)),0)</x:f>
        <x:v>0</x:v>
      </x:c>
      <x:c r="Q35" s="20" t="n">
        <x:f>IF(I35-(L35+N35+P35)&gt;0.000000001,J35,0)</x:f>
        <x:v>0</x:v>
      </x:c>
      <x:c r="R35" s="24" t="n">
        <x:f>IF(SUM(Q$26:Q$35)&gt;0,MIN(MAX(0,I35-(L35+N35+P35)),MAX(0,'Расчет'!D17-(SUM(L26:L35)+SUM(N26:N35)+SUM(P26:P35)))*Q35/SUM(Q$26:Q$35)),0)</x:f>
        <x:v>0</x:v>
      </x:c>
      <x:c r="S35" s="20" t="n">
        <x:f>IF(I35-(L35+N35+P35+R35)&gt;0.000000001,J35,0)</x:f>
        <x:v>0</x:v>
      </x:c>
      <x:c r="T35" s="24" t="n">
        <x:f>IF(SUM(S$26:S$35)&gt;0,MIN(MAX(0,I35-(L35+N35+P35+R35)),MAX(0,'Расчет'!D17-(SUM(L26:L35)+SUM(N26:N35)+SUM(P26:P35)+SUM(R26:R35)))*S35/SUM(S$26:S$35)),0)</x:f>
        <x:v>0</x:v>
      </x:c>
      <x:c r="U35" s="20" t="n">
        <x:f>SUM(L35,N35,P35,R35,T35)</x:f>
        <x:v>0</x:v>
      </x:c>
      <x:c r="V35" s="20" t="n">
        <x:f>0</x:f>
        <x:v>0</x:v>
      </x:c>
      <x:c r="W35" s="20" t="n">
        <x:f>0</x:f>
        <x:v>0</x:v>
      </x:c>
      <x:c r="X35" s="20" t="n">
        <x:f>G35</x:f>
        <x:v>0</x:v>
      </x:c>
      <x:c r="Y35" s="20" t="n">
        <x:f>H35+U35</x:f>
        <x:v>0</x:v>
      </x:c>
      <x:c r="Z35" s="20" t="n">
        <x:f>G35-V35</x:f>
        <x:v>0</x:v>
      </x:c>
      <x:c r="AA35" s="20" t="n">
        <x:f>Y35-W35</x:f>
        <x:v>0</x:v>
      </x:c>
      <x:c r="AB35" s="20" t="n">
        <x:f>Z35-AA35</x:f>
        <x:v>0</x:v>
      </x:c>
    </x:row>
    <x:row r="36" ht="21" customHeight="1">
      <x:c r="A36" s="2" t="str">
        <x:v>Эконом/комфорт</x:v>
      </x:c>
      <x:c r="B36" s="12" t="n">
        <x:v>2029</x:v>
      </x:c>
      <x:c r="C36" s="12" t="n">
        <x:v>2026</x:v>
      </x:c>
      <x:c r="D36" s="20" t="n">
        <x:f>0</x:f>
        <x:v>0</x:v>
      </x:c>
      <x:c r="E36" s="20" t="n">
        <x:f>0</x:f>
        <x:v>0</x:v>
      </x:c>
      <x:c r="F36" s="20" t="n">
        <x:f>0</x:f>
        <x:v>0</x:v>
      </x:c>
      <x:c r="G36" s="20" t="n">
        <x:f>D36+F36</x:f>
        <x:v>0</x:v>
      </x:c>
      <x:c r="H36" s="20" t="n">
        <x:f>E36</x:f>
        <x:v>0</x:v>
      </x:c>
      <x:c r="I36" s="20" t="n">
        <x:f>MAX(0,G36-H36)</x:f>
        <x:v>0</x:v>
      </x:c>
      <x:c r="J36" s="39" t="n">
        <x:f>0</x:f>
        <x:v>0</x:v>
      </x:c>
      <x:c r="K36" s="39" t="n">
        <x:f>IF(I36-(0)&gt;0.000000001,J36,0)</x:f>
        <x:v>0</x:v>
      </x:c>
      <x:c r="L36" s="24" t="n">
        <x:f>IF(SUM(K$36:K$45)&gt;0,MIN(MAX(0,I36-(0)),MAX(0,'Расчет'!E17-(0))*K36/SUM(K$36:K$45)),0)</x:f>
        <x:v>0</x:v>
      </x:c>
      <x:c r="M36" s="20" t="n">
        <x:f>IF(I36-(L36)&gt;0.000000001,J36,0)</x:f>
        <x:v>0</x:v>
      </x:c>
      <x:c r="N36" s="24" t="n">
        <x:f>IF(SUM(M$36:M$45)&gt;0,MIN(MAX(0,I36-(L36)),MAX(0,'Расчет'!E17-(SUM(L36:L45)))*M36/SUM(M$36:M$45)),0)</x:f>
        <x:v>0</x:v>
      </x:c>
      <x:c r="O36" s="20" t="n">
        <x:f>IF(I36-(L36+N36)&gt;0.000000001,J36,0)</x:f>
        <x:v>0</x:v>
      </x:c>
      <x:c r="P36" s="24" t="n">
        <x:f>IF(SUM(O$36:O$45)&gt;0,MIN(MAX(0,I36-(L36+N36)),MAX(0,'Расчет'!E17-(SUM(L36:L45)+SUM(N36:N45)))*O36/SUM(O$36:O$45)),0)</x:f>
        <x:v>0</x:v>
      </x:c>
      <x:c r="Q36" s="20" t="n">
        <x:f>IF(I36-(L36+N36+P36)&gt;0.000000001,J36,0)</x:f>
        <x:v>0</x:v>
      </x:c>
      <x:c r="R36" s="24" t="n">
        <x:f>IF(SUM(Q$36:Q$45)&gt;0,MIN(MAX(0,I36-(L36+N36+P36)),MAX(0,'Расчет'!E17-(SUM(L36:L45)+SUM(N36:N45)+SUM(P36:P45)))*Q36/SUM(Q$36:Q$45)),0)</x:f>
        <x:v>0</x:v>
      </x:c>
      <x:c r="S36" s="20" t="n">
        <x:f>IF(I36-(L36+N36+P36+R36)&gt;0.000000001,J36,0)</x:f>
        <x:v>0</x:v>
      </x:c>
      <x:c r="T36" s="24" t="n">
        <x:f>IF(SUM(S$36:S$45)&gt;0,MIN(MAX(0,I36-(L36+N36+P36+R36)),MAX(0,'Расчет'!E17-(SUM(L36:L45)+SUM(N36:N45)+SUM(P36:P45)+SUM(R36:R45)))*S36/SUM(S$36:S$45)),0)</x:f>
        <x:v>0</x:v>
      </x:c>
      <x:c r="U36" s="20" t="n">
        <x:f>SUM(L36,N36,P36,R36,T36)</x:f>
        <x:v>0</x:v>
      </x:c>
      <x:c r="V36" s="20" t="n">
        <x:f>0</x:f>
        <x:v>0</x:v>
      </x:c>
      <x:c r="W36" s="20" t="n">
        <x:f>0</x:f>
        <x:v>0</x:v>
      </x:c>
      <x:c r="X36" s="20" t="n">
        <x:f>G36</x:f>
        <x:v>0</x:v>
      </x:c>
      <x:c r="Y36" s="20" t="n">
        <x:f>H36+U36</x:f>
        <x:v>0</x:v>
      </x:c>
      <x:c r="Z36" s="20" t="n">
        <x:f>G36-V36</x:f>
        <x:v>0</x:v>
      </x:c>
      <x:c r="AA36" s="20" t="n">
        <x:f>Y36-W36</x:f>
        <x:v>0</x:v>
      </x:c>
      <x:c r="AB36" s="20" t="n">
        <x:f>Z36-AA36</x:f>
        <x:v>0</x:v>
      </x:c>
    </x:row>
    <x:row r="37" ht="21" customHeight="1">
      <x:c r="A37" s="2" t="str">
        <x:v>Эконом/комфорт</x:v>
      </x:c>
      <x:c r="B37" s="12" t="n">
        <x:v>2029</x:v>
      </x:c>
      <x:c r="C37" s="12" t="n">
        <x:v>2027</x:v>
      </x:c>
      <x:c r="D37" s="20" t="n">
        <x:f>0</x:f>
        <x:v>0</x:v>
      </x:c>
      <x:c r="E37" s="20" t="n">
        <x:f>0</x:f>
        <x:v>0</x:v>
      </x:c>
      <x:c r="F37" s="20" t="n">
        <x:f>0</x:f>
        <x:v>0</x:v>
      </x:c>
      <x:c r="G37" s="20" t="n">
        <x:f>D37+F37</x:f>
        <x:v>0</x:v>
      </x:c>
      <x:c r="H37" s="20" t="n">
        <x:f>E37</x:f>
        <x:v>0</x:v>
      </x:c>
      <x:c r="I37" s="20" t="n">
        <x:f>MAX(0,G37-H37)</x:f>
        <x:v>0</x:v>
      </x:c>
      <x:c r="J37" s="39" t="n">
        <x:f>0</x:f>
        <x:v>0</x:v>
      </x:c>
      <x:c r="K37" s="39" t="n">
        <x:f>IF(I37-(0)&gt;0.000000001,J37,0)</x:f>
        <x:v>0</x:v>
      </x:c>
      <x:c r="L37" s="24" t="n">
        <x:f>IF(SUM(K$36:K$45)&gt;0,MIN(MAX(0,I37-(0)),MAX(0,'Расчет'!E17-(0))*K37/SUM(K$36:K$45)),0)</x:f>
        <x:v>0</x:v>
      </x:c>
      <x:c r="M37" s="20" t="n">
        <x:f>IF(I37-(L37)&gt;0.000000001,J37,0)</x:f>
        <x:v>0</x:v>
      </x:c>
      <x:c r="N37" s="24" t="n">
        <x:f>IF(SUM(M$36:M$45)&gt;0,MIN(MAX(0,I37-(L37)),MAX(0,'Расчет'!E17-(SUM(L36:L45)))*M37/SUM(M$36:M$45)),0)</x:f>
        <x:v>0</x:v>
      </x:c>
      <x:c r="O37" s="20" t="n">
        <x:f>IF(I37-(L37+N37)&gt;0.000000001,J37,0)</x:f>
        <x:v>0</x:v>
      </x:c>
      <x:c r="P37" s="24" t="n">
        <x:f>IF(SUM(O$36:O$45)&gt;0,MIN(MAX(0,I37-(L37+N37)),MAX(0,'Расчет'!E17-(SUM(L36:L45)+SUM(N36:N45)))*O37/SUM(O$36:O$45)),0)</x:f>
        <x:v>0</x:v>
      </x:c>
      <x:c r="Q37" s="20" t="n">
        <x:f>IF(I37-(L37+N37+P37)&gt;0.000000001,J37,0)</x:f>
        <x:v>0</x:v>
      </x:c>
      <x:c r="R37" s="24" t="n">
        <x:f>IF(SUM(Q$36:Q$45)&gt;0,MIN(MAX(0,I37-(L37+N37+P37)),MAX(0,'Расчет'!E17-(SUM(L36:L45)+SUM(N36:N45)+SUM(P36:P45)))*Q37/SUM(Q$36:Q$45)),0)</x:f>
        <x:v>0</x:v>
      </x:c>
      <x:c r="S37" s="20" t="n">
        <x:f>IF(I37-(L37+N37+P37+R37)&gt;0.000000001,J37,0)</x:f>
        <x:v>0</x:v>
      </x:c>
      <x:c r="T37" s="24" t="n">
        <x:f>IF(SUM(S$36:S$45)&gt;0,MIN(MAX(0,I37-(L37+N37+P37+R37)),MAX(0,'Расчет'!E17-(SUM(L36:L45)+SUM(N36:N45)+SUM(P36:P45)+SUM(R36:R45)))*S37/SUM(S$36:S$45)),0)</x:f>
        <x:v>0</x:v>
      </x:c>
      <x:c r="U37" s="20" t="n">
        <x:f>SUM(L37,N37,P37,R37,T37)</x:f>
        <x:v>0</x:v>
      </x:c>
      <x:c r="V37" s="20" t="n">
        <x:f>0</x:f>
        <x:v>0</x:v>
      </x:c>
      <x:c r="W37" s="20" t="n">
        <x:f>0</x:f>
        <x:v>0</x:v>
      </x:c>
      <x:c r="X37" s="20" t="n">
        <x:f>G37</x:f>
        <x:v>0</x:v>
      </x:c>
      <x:c r="Y37" s="20" t="n">
        <x:f>H37+U37</x:f>
        <x:v>0</x:v>
      </x:c>
      <x:c r="Z37" s="20" t="n">
        <x:f>G37-V37</x:f>
        <x:v>0</x:v>
      </x:c>
      <x:c r="AA37" s="20" t="n">
        <x:f>Y37-W37</x:f>
        <x:v>0</x:v>
      </x:c>
      <x:c r="AB37" s="20" t="n">
        <x:f>Z37-AA37</x:f>
        <x:v>0</x:v>
      </x:c>
    </x:row>
    <x:row r="38" ht="21" customHeight="1">
      <x:c r="A38" s="2" t="str">
        <x:v>Эконом/комфорт</x:v>
      </x:c>
      <x:c r="B38" s="12" t="n">
        <x:v>2029</x:v>
      </x:c>
      <x:c r="C38" s="12" t="n">
        <x:v>2028</x:v>
      </x:c>
      <x:c r="D38" s="20" t="n">
        <x:f>0</x:f>
        <x:v>0</x:v>
      </x:c>
      <x:c r="E38" s="20" t="n">
        <x:f>0</x:f>
        <x:v>0</x:v>
      </x:c>
      <x:c r="F38" s="20" t="n">
        <x:f>0</x:f>
        <x:v>0</x:v>
      </x:c>
      <x:c r="G38" s="20" t="n">
        <x:f>D38+F38</x:f>
        <x:v>0</x:v>
      </x:c>
      <x:c r="H38" s="20" t="n">
        <x:f>E38</x:f>
        <x:v>0</x:v>
      </x:c>
      <x:c r="I38" s="20" t="n">
        <x:f>MAX(0,G38-H38)</x:f>
        <x:v>0</x:v>
      </x:c>
      <x:c r="J38" s="39" t="n">
        <x:f>0</x:f>
        <x:v>0</x:v>
      </x:c>
      <x:c r="K38" s="39" t="n">
        <x:f>IF(I38-(0)&gt;0.000000001,J38,0)</x:f>
        <x:v>0</x:v>
      </x:c>
      <x:c r="L38" s="24" t="n">
        <x:f>IF(SUM(K$36:K$45)&gt;0,MIN(MAX(0,I38-(0)),MAX(0,'Расчет'!E17-(0))*K38/SUM(K$36:K$45)),0)</x:f>
        <x:v>0</x:v>
      </x:c>
      <x:c r="M38" s="20" t="n">
        <x:f>IF(I38-(L38)&gt;0.000000001,J38,0)</x:f>
        <x:v>0</x:v>
      </x:c>
      <x:c r="N38" s="24" t="n">
        <x:f>IF(SUM(M$36:M$45)&gt;0,MIN(MAX(0,I38-(L38)),MAX(0,'Расчет'!E17-(SUM(L36:L45)))*M38/SUM(M$36:M$45)),0)</x:f>
        <x:v>0</x:v>
      </x:c>
      <x:c r="O38" s="20" t="n">
        <x:f>IF(I38-(L38+N38)&gt;0.000000001,J38,0)</x:f>
        <x:v>0</x:v>
      </x:c>
      <x:c r="P38" s="24" t="n">
        <x:f>IF(SUM(O$36:O$45)&gt;0,MIN(MAX(0,I38-(L38+N38)),MAX(0,'Расчет'!E17-(SUM(L36:L45)+SUM(N36:N45)))*O38/SUM(O$36:O$45)),0)</x:f>
        <x:v>0</x:v>
      </x:c>
      <x:c r="Q38" s="20" t="n">
        <x:f>IF(I38-(L38+N38+P38)&gt;0.000000001,J38,0)</x:f>
        <x:v>0</x:v>
      </x:c>
      <x:c r="R38" s="24" t="n">
        <x:f>IF(SUM(Q$36:Q$45)&gt;0,MIN(MAX(0,I38-(L38+N38+P38)),MAX(0,'Расчет'!E17-(SUM(L36:L45)+SUM(N36:N45)+SUM(P36:P45)))*Q38/SUM(Q$36:Q$45)),0)</x:f>
        <x:v>0</x:v>
      </x:c>
      <x:c r="S38" s="20" t="n">
        <x:f>IF(I38-(L38+N38+P38+R38)&gt;0.000000001,J38,0)</x:f>
        <x:v>0</x:v>
      </x:c>
      <x:c r="T38" s="24" t="n">
        <x:f>IF(SUM(S$36:S$45)&gt;0,MIN(MAX(0,I38-(L38+N38+P38+R38)),MAX(0,'Расчет'!E17-(SUM(L36:L45)+SUM(N36:N45)+SUM(P36:P45)+SUM(R36:R45)))*S38/SUM(S$36:S$45)),0)</x:f>
        <x:v>0</x:v>
      </x:c>
      <x:c r="U38" s="20" t="n">
        <x:f>SUM(L38,N38,P38,R38,T38)</x:f>
        <x:v>0</x:v>
      </x:c>
      <x:c r="V38" s="20" t="n">
        <x:f>0</x:f>
        <x:v>0</x:v>
      </x:c>
      <x:c r="W38" s="20" t="n">
        <x:f>0</x:f>
        <x:v>0</x:v>
      </x:c>
      <x:c r="X38" s="20" t="n">
        <x:f>G38</x:f>
        <x:v>0</x:v>
      </x:c>
      <x:c r="Y38" s="20" t="n">
        <x:f>H38+U38</x:f>
        <x:v>0</x:v>
      </x:c>
      <x:c r="Z38" s="20" t="n">
        <x:f>G38-V38</x:f>
        <x:v>0</x:v>
      </x:c>
      <x:c r="AA38" s="20" t="n">
        <x:f>Y38-W38</x:f>
        <x:v>0</x:v>
      </x:c>
      <x:c r="AB38" s="20" t="n">
        <x:f>Z38-AA38</x:f>
        <x:v>0</x:v>
      </x:c>
    </x:row>
    <x:row r="39" ht="21" customHeight="1">
      <x:c r="A39" s="2" t="str">
        <x:v>Эконом/комфорт</x:v>
      </x:c>
      <x:c r="B39" s="12" t="n">
        <x:v>2029</x:v>
      </x:c>
      <x:c r="C39" s="12" t="n">
        <x:v>2029</x:v>
      </x:c>
      <x:c r="D39" s="20" t="n">
        <x:f>Z29+Z28</x:f>
        <x:v>1405.9648041163584</x:v>
      </x:c>
      <x:c r="E39" s="20" t="n">
        <x:f>AA29+AA28</x:f>
        <x:v>1073.1794072947628</x:v>
      </x:c>
      <x:c r="F39" s="24" t="n">
        <x:f>'Расчет'!E8*'Допущения'!B24</x:f>
        <x:v>0</x:v>
      </x:c>
      <x:c r="G39" s="20" t="n">
        <x:f>D39+F39</x:f>
        <x:v>1405.9648041163584</x:v>
      </x:c>
      <x:c r="H39" s="20" t="n">
        <x:f>E39</x:f>
        <x:v>1073.1794072947628</x:v>
      </x:c>
      <x:c r="I39" s="20" t="n">
        <x:f>MAX(0,G39-H39)</x:f>
        <x:v>332.78539682159567</x:v>
      </x:c>
      <x:c r="J39" s="38" t="n">
        <x:f>'Допущения'!B30</x:f>
        <x:v>0.1357</x:v>
      </x:c>
      <x:c r="K39" s="39" t="n">
        <x:f>IF(I39-(0)&gt;0.000000001,J39,0)</x:f>
        <x:v>0.1357</x:v>
      </x:c>
      <x:c r="L39" s="24" t="n">
        <x:f>IF(SUM(K$36:K$45)&gt;0,MIN(MAX(0,I39-(0)),MAX(0,'Расчет'!E17-(0))*K39/SUM(K$36:K$45)),0)</x:f>
        <x:v>150.64735684923977</x:v>
      </x:c>
      <x:c r="M39" s="20" t="n">
        <x:f>IF(I39-(L39)&gt;0.000000001,J39,0)</x:f>
        <x:v>0.1357</x:v>
      </x:c>
      <x:c r="N39" s="24" t="n">
        <x:f>IF(SUM(M$36:M$45)&gt;0,MIN(MAX(0,I39-(L39)),MAX(0,'Расчет'!E17-(SUM(L36:L45)))*M39/SUM(M$36:M$45)),0)</x:f>
        <x:v>3.085460775764659e-14</x:v>
      </x:c>
      <x:c r="O39" s="20" t="n">
        <x:f>IF(I39-(L39+N39)&gt;0.000000001,J39,0)</x:f>
        <x:v>0.1357</x:v>
      </x:c>
      <x:c r="P39" s="24" t="n">
        <x:f>IF(SUM(O$36:O$45)&gt;0,MIN(MAX(0,I39-(L39+N39)),MAX(0,'Расчет'!E17-(SUM(L36:L45)+SUM(N36:N45)))*O39/SUM(O$36:O$45)),0)</x:f>
        <x:v>0</x:v>
      </x:c>
      <x:c r="Q39" s="20" t="n">
        <x:f>IF(I39-(L39+N39+P39)&gt;0.000000001,J39,0)</x:f>
        <x:v>0.1357</x:v>
      </x:c>
      <x:c r="R39" s="24" t="n">
        <x:f>IF(SUM(Q$36:Q$45)&gt;0,MIN(MAX(0,I39-(L39+N39+P39)),MAX(0,'Расчет'!E17-(SUM(L36:L45)+SUM(N36:N45)+SUM(P36:P45)))*Q39/SUM(Q$36:Q$45)),0)</x:f>
        <x:v>0</x:v>
      </x:c>
      <x:c r="S39" s="20" t="n">
        <x:f>IF(I39-(L39+N39+P39+R39)&gt;0.000000001,J39,0)</x:f>
        <x:v>0.1357</x:v>
      </x:c>
      <x:c r="T39" s="24" t="n">
        <x:f>IF(SUM(S$36:S$45)&gt;0,MIN(MAX(0,I39-(L39+N39+P39+R39)),MAX(0,'Расчет'!E17-(SUM(L36:L45)+SUM(N36:N45)+SUM(P36:P45)+SUM(R36:R45)))*S39/SUM(S$36:S$45)),0)</x:f>
        <x:v>0</x:v>
      </x:c>
      <x:c r="U39" s="20" t="n">
        <x:f>SUM(L39,N39,P39,R39,T39)</x:f>
        <x:v>150.6473568492398</x:v>
      </x:c>
      <x:c r="V39" s="24" t="n">
        <x:f>G39*(1-'Допущения'!E7)</x:f>
        <x:v>1335.6665639105404</x:v>
      </x:c>
      <x:c r="W39" s="24" t="n">
        <x:f>Y39*(1-'Допущения'!E7)</x:f>
        <x:v>1162.6354259368022</x:v>
      </x:c>
      <x:c r="X39" s="20" t="n">
        <x:f>G39</x:f>
        <x:v>1405.9648041163584</x:v>
      </x:c>
      <x:c r="Y39" s="20" t="n">
        <x:f>H39+U39</x:f>
        <x:v>1223.8267641440025</x:v>
      </x:c>
      <x:c r="Z39" s="20" t="n">
        <x:f>G39-V39</x:f>
        <x:v>70.29824020581805</x:v>
      </x:c>
      <x:c r="AA39" s="20" t="n">
        <x:f>Y39-W39</x:f>
        <x:v>61.19133820720026</x:v>
      </x:c>
      <x:c r="AB39" s="20" t="n">
        <x:f>Z39-AA39</x:f>
        <x:v>9.106901998617786</x:v>
      </x:c>
    </x:row>
    <x:row r="40" ht="21" customHeight="1">
      <x:c r="A40" s="2" t="str">
        <x:v>Эконом/комфорт</x:v>
      </x:c>
      <x:c r="B40" s="12" t="n">
        <x:v>2029</x:v>
      </x:c>
      <x:c r="C40" s="12" t="n">
        <x:v>2030</x:v>
      </x:c>
      <x:c r="D40" s="20" t="n">
        <x:f>Z30</x:f>
        <x:v>942.9623935456281</x:v>
      </x:c>
      <x:c r="E40" s="20" t="n">
        <x:f>AA30</x:f>
        <x:v>544.0697516641977</x:v>
      </x:c>
      <x:c r="F40" s="24" t="n">
        <x:f>'Расчет'!E8*'Допущения'!C24</x:f>
        <x:v>234.714384180651</x:v>
      </x:c>
      <x:c r="G40" s="20" t="n">
        <x:f>D40+F40</x:f>
        <x:v>1177.676777726279</x:v>
      </x:c>
      <x:c r="H40" s="20" t="n">
        <x:f>E40</x:f>
        <x:v>544.0697516641977</x:v>
      </x:c>
      <x:c r="I40" s="20" t="n">
        <x:f>MAX(0,G40-H40)</x:f>
        <x:v>633.6070260620812</x:v>
      </x:c>
      <x:c r="J40" s="38" t="n">
        <x:f>'Допущения'!C30</x:f>
        <x:v>0.3612</x:v>
      </x:c>
      <x:c r="K40" s="39" t="n">
        <x:f>IF(I40-(0)&gt;0.000000001,J40,0)</x:f>
        <x:v>0.3612</x:v>
      </x:c>
      <x:c r="L40" s="24" t="n">
        <x:f>IF(SUM(K$36:K$45)&gt;0,MIN(MAX(0,I40-(0)),MAX(0,'Расчет'!E17-(0))*K40/SUM(K$36:K$45)),0)</x:f>
        <x:v>400.9861849222212</x:v>
      </x:c>
      <x:c r="M40" s="20" t="n">
        <x:f>IF(I40-(L40)&gt;0.000000001,J40,0)</x:f>
        <x:v>0.3612</x:v>
      </x:c>
      <x:c r="N40" s="24" t="n">
        <x:f>IF(SUM(M$36:M$45)&gt;0,MIN(MAX(0,I40-(L40)),MAX(0,'Расчет'!E17-(SUM(L36:L45)))*M40/SUM(M$36:M$45)),0)</x:f>
        <x:v>8.212737157009542e-14</x:v>
      </x:c>
      <x:c r="O40" s="20" t="n">
        <x:f>IF(I40-(L40+N40)&gt;0.000000001,J40,0)</x:f>
        <x:v>0.3612</x:v>
      </x:c>
      <x:c r="P40" s="24" t="n">
        <x:f>IF(SUM(O$36:O$45)&gt;0,MIN(MAX(0,I40-(L40+N40)),MAX(0,'Расчет'!E17-(SUM(L36:L45)+SUM(N36:N45)))*O40/SUM(O$36:O$45)),0)</x:f>
        <x:v>0</x:v>
      </x:c>
      <x:c r="Q40" s="20" t="n">
        <x:f>IF(I40-(L40+N40+P40)&gt;0.000000001,J40,0)</x:f>
        <x:v>0.3612</x:v>
      </x:c>
      <x:c r="R40" s="24" t="n">
        <x:f>IF(SUM(Q$36:Q$45)&gt;0,MIN(MAX(0,I40-(L40+N40+P40)),MAX(0,'Расчет'!E17-(SUM(L36:L45)+SUM(N36:N45)+SUM(P36:P45)))*Q40/SUM(Q$36:Q$45)),0)</x:f>
        <x:v>0</x:v>
      </x:c>
      <x:c r="S40" s="20" t="n">
        <x:f>IF(I40-(L40+N40+P40+R40)&gt;0.000000001,J40,0)</x:f>
        <x:v>0.3612</x:v>
      </x:c>
      <x:c r="T40" s="24" t="n">
        <x:f>IF(SUM(S$36:S$45)&gt;0,MIN(MAX(0,I40-(L40+N40+P40+R40)),MAX(0,'Расчет'!E17-(SUM(L36:L45)+SUM(N36:N45)+SUM(P36:P45)+SUM(R36:R45)))*S40/SUM(S$36:S$45)),0)</x:f>
        <x:v>0</x:v>
      </x:c>
      <x:c r="U40" s="20" t="n">
        <x:f>SUM(L40,N40,P40,R40,T40)</x:f>
        <x:v>400.98618492222124</x:v>
      </x:c>
      <x:c r="V40" s="20" t="n">
        <x:f>0</x:f>
        <x:v>0</x:v>
      </x:c>
      <x:c r="W40" s="20" t="n">
        <x:f>0</x:f>
        <x:v>0</x:v>
      </x:c>
      <x:c r="X40" s="20" t="n">
        <x:f>G40</x:f>
        <x:v>1177.676777726279</x:v>
      </x:c>
      <x:c r="Y40" s="20" t="n">
        <x:f>H40+U40</x:f>
        <x:v>945.055936586419</x:v>
      </x:c>
      <x:c r="Z40" s="20" t="n">
        <x:f>G40-V40</x:f>
        <x:v>1177.676777726279</x:v>
      </x:c>
      <x:c r="AA40" s="20" t="n">
        <x:f>Y40-W40</x:f>
        <x:v>945.055936586419</x:v>
      </x:c>
      <x:c r="AB40" s="20" t="n">
        <x:f>Z40-AA40</x:f>
        <x:v>232.62084113985998</x:v>
      </x:c>
    </x:row>
    <x:row r="41" ht="21" customHeight="1">
      <x:c r="A41" s="2" t="str">
        <x:v>Эконом/комфорт</x:v>
      </x:c>
      <x:c r="B41" s="12" t="n">
        <x:v>2029</x:v>
      </x:c>
      <x:c r="C41" s="12" t="n">
        <x:v>2031</x:v>
      </x:c>
      <x:c r="D41" s="20" t="n">
        <x:f>Z31</x:f>
        <x:v>519.176216741013</x:v>
      </x:c>
      <x:c r="E41" s="20" t="n">
        <x:f>AA31</x:f>
        <x:v>223.79981032599332</x:v>
      </x:c>
      <x:c r="F41" s="24" t="n">
        <x:f>'Расчет'!E8*'Допущения'!D24</x:f>
        <x:v>502.6865700434109</x:v>
      </x:c>
      <x:c r="G41" s="20" t="n">
        <x:f>D41+F41</x:f>
        <x:v>1021.8627867844239</x:v>
      </x:c>
      <x:c r="H41" s="20" t="n">
        <x:f>E41</x:f>
        <x:v>223.79981032599332</x:v>
      </x:c>
      <x:c r="I41" s="20" t="n">
        <x:f>MAX(0,G41-H41)</x:f>
        <x:v>798.0629764584305</x:v>
      </x:c>
      <x:c r="J41" s="38" t="n">
        <x:f>'Допущения'!D30</x:f>
        <x:v>0.3111</x:v>
      </x:c>
      <x:c r="K41" s="39" t="n">
        <x:f>IF(I41-(0)&gt;0.000000001,J41,0)</x:f>
        <x:v>0.3111</x:v>
      </x:c>
      <x:c r="L41" s="24" t="n">
        <x:f>IF(SUM(K$36:K$45)&gt;0,MIN(MAX(0,I41-(0)),MAX(0,'Расчет'!E17-(0))*K41/SUM(K$36:K$45)),0)</x:f>
        <x:v>345.36766923948784</x:v>
      </x:c>
      <x:c r="M41" s="20" t="n">
        <x:f>IF(I41-(L41)&gt;0.000000001,J41,0)</x:f>
        <x:v>0.3111</x:v>
      </x:c>
      <x:c r="N41" s="24" t="n">
        <x:f>IF(SUM(M$36:M$45)&gt;0,MIN(MAX(0,I41-(L41)),MAX(0,'Расчет'!E17-(SUM(L36:L45)))*M41/SUM(M$36:M$45)),0)</x:f>
        <x:v>7.073595043038949e-14</x:v>
      </x:c>
      <x:c r="O41" s="20" t="n">
        <x:f>IF(I41-(L41+N41)&gt;0.000000001,J41,0)</x:f>
        <x:v>0.3111</x:v>
      </x:c>
      <x:c r="P41" s="24" t="n">
        <x:f>IF(SUM(O$36:O$45)&gt;0,MIN(MAX(0,I41-(L41+N41)),MAX(0,'Расчет'!E17-(SUM(L36:L45)+SUM(N36:N45)))*O41/SUM(O$36:O$45)),0)</x:f>
        <x:v>0</x:v>
      </x:c>
      <x:c r="Q41" s="20" t="n">
        <x:f>IF(I41-(L41+N41+P41)&gt;0.000000001,J41,0)</x:f>
        <x:v>0.3111</x:v>
      </x:c>
      <x:c r="R41" s="24" t="n">
        <x:f>IF(SUM(Q$36:Q$45)&gt;0,MIN(MAX(0,I41-(L41+N41+P41)),MAX(0,'Расчет'!E17-(SUM(L36:L45)+SUM(N36:N45)+SUM(P36:P45)))*Q41/SUM(Q$36:Q$45)),0)</x:f>
        <x:v>0</x:v>
      </x:c>
      <x:c r="S41" s="20" t="n">
        <x:f>IF(I41-(L41+N41+P41+R41)&gt;0.000000001,J41,0)</x:f>
        <x:v>0.3111</x:v>
      </x:c>
      <x:c r="T41" s="24" t="n">
        <x:f>IF(SUM(S$36:S$45)&gt;0,MIN(MAX(0,I41-(L41+N41+P41+R41)),MAX(0,'Расчет'!E17-(SUM(L36:L45)+SUM(N36:N45)+SUM(P36:P45)+SUM(R36:R45)))*S41/SUM(S$36:S$45)),0)</x:f>
        <x:v>0</x:v>
      </x:c>
      <x:c r="U41" s="20" t="n">
        <x:f>SUM(L41,N41,P41,R41,T41)</x:f>
        <x:v>345.3676692394879</x:v>
      </x:c>
      <x:c r="V41" s="20" t="n">
        <x:f>0</x:f>
        <x:v>0</x:v>
      </x:c>
      <x:c r="W41" s="20" t="n">
        <x:f>0</x:f>
        <x:v>0</x:v>
      </x:c>
      <x:c r="X41" s="20" t="n">
        <x:f>G41</x:f>
        <x:v>1021.8627867844239</x:v>
      </x:c>
      <x:c r="Y41" s="20" t="n">
        <x:f>H41+U41</x:f>
        <x:v>569.1674795654812</x:v>
      </x:c>
      <x:c r="Z41" s="20" t="n">
        <x:f>G41-V41</x:f>
        <x:v>1021.8627867844239</x:v>
      </x:c>
      <x:c r="AA41" s="20" t="n">
        <x:f>Y41-W41</x:f>
        <x:v>569.1674795654812</x:v>
      </x:c>
      <x:c r="AB41" s="20" t="n">
        <x:f>Z41-AA41</x:f>
        <x:v>452.6953072189426</x:v>
      </x:c>
    </x:row>
    <x:row r="42" ht="21" customHeight="1">
      <x:c r="A42" s="2" t="str">
        <x:v>Эконом/комфорт</x:v>
      </x:c>
      <x:c r="B42" s="12" t="n">
        <x:v>2029</x:v>
      </x:c>
      <x:c r="C42" s="12" t="n">
        <x:v>2032</x:v>
      </x:c>
      <x:c r="D42" s="20" t="n">
        <x:f>Z32</x:f>
        <x:v>92.4852700720214</x:v>
      </x:c>
      <x:c r="E42" s="20" t="n">
        <x:f>AA32</x:f>
        <x:v>50.08699297725797</x:v>
      </x:c>
      <x:c r="F42" s="24" t="n">
        <x:f>'Расчет'!E8*'Допущения'!E24</x:f>
        <x:v>479.4851079796529</x:v>
      </x:c>
      <x:c r="G42" s="20" t="n">
        <x:f>D42+F42</x:f>
        <x:v>571.9703780516743</x:v>
      </x:c>
      <x:c r="H42" s="20" t="n">
        <x:f>E42</x:f>
        <x:v>50.08699297725797</x:v>
      </x:c>
      <x:c r="I42" s="20" t="n">
        <x:f>MAX(0,G42-H42)</x:f>
        <x:v>521.8833850744163</x:v>
      </x:c>
      <x:c r="J42" s="38" t="n">
        <x:f>'Допущения'!E30</x:f>
        <x:v>0.1495</x:v>
      </x:c>
      <x:c r="K42" s="39" t="n">
        <x:f>IF(I42-(0)&gt;0.000000001,J42,0)</x:f>
        <x:v>0.1495</x:v>
      </x:c>
      <x:c r="L42" s="24" t="n">
        <x:f>IF(SUM(K$36:K$45)&gt;0,MIN(MAX(0,I42-(0)),MAX(0,'Расчет'!E17-(0))*K42/SUM(K$36:K$45)),0)</x:f>
        <x:v>165.96742703729808</x:v>
      </x:c>
      <x:c r="M42" s="20" t="n">
        <x:f>IF(I42-(L42)&gt;0.000000001,J42,0)</x:f>
        <x:v>0.1495</x:v>
      </x:c>
      <x:c r="N42" s="24" t="n">
        <x:f>IF(SUM(M$36:M$45)&gt;0,MIN(MAX(0,I42-(L42)),MAX(0,'Расчет'!E17-(SUM(L36:L45)))*M42/SUM(M$36:M$45)),0)</x:f>
        <x:v>3.399236447876319e-14</x:v>
      </x:c>
      <x:c r="O42" s="20" t="n">
        <x:f>IF(I42-(L42+N42)&gt;0.000000001,J42,0)</x:f>
        <x:v>0.1495</x:v>
      </x:c>
      <x:c r="P42" s="24" t="n">
        <x:f>IF(SUM(O$36:O$45)&gt;0,MIN(MAX(0,I42-(L42+N42)),MAX(0,'Расчет'!E17-(SUM(L36:L45)+SUM(N36:N45)))*O42/SUM(O$36:O$45)),0)</x:f>
        <x:v>0</x:v>
      </x:c>
      <x:c r="Q42" s="20" t="n">
        <x:f>IF(I42-(L42+N42+P42)&gt;0.000000001,J42,0)</x:f>
        <x:v>0.1495</x:v>
      </x:c>
      <x:c r="R42" s="24" t="n">
        <x:f>IF(SUM(Q$36:Q$45)&gt;0,MIN(MAX(0,I42-(L42+N42+P42)),MAX(0,'Расчет'!E17-(SUM(L36:L45)+SUM(N36:N45)+SUM(P36:P45)))*Q42/SUM(Q$36:Q$45)),0)</x:f>
        <x:v>0</x:v>
      </x:c>
      <x:c r="S42" s="20" t="n">
        <x:f>IF(I42-(L42+N42+P42+R42)&gt;0.000000001,J42,0)</x:f>
        <x:v>0.1495</x:v>
      </x:c>
      <x:c r="T42" s="24" t="n">
        <x:f>IF(SUM(S$36:S$45)&gt;0,MIN(MAX(0,I42-(L42+N42+P42+R42)),MAX(0,'Расчет'!E17-(SUM(L36:L45)+SUM(N36:N45)+SUM(P36:P45)+SUM(R36:R45)))*S42/SUM(S$36:S$45)),0)</x:f>
        <x:v>0</x:v>
      </x:c>
      <x:c r="U42" s="20" t="n">
        <x:f>SUM(L42,N42,P42,R42,T42)</x:f>
        <x:v>165.9674270372981</x:v>
      </x:c>
      <x:c r="V42" s="20" t="n">
        <x:f>0</x:f>
        <x:v>0</x:v>
      </x:c>
      <x:c r="W42" s="20" t="n">
        <x:f>0</x:f>
        <x:v>0</x:v>
      </x:c>
      <x:c r="X42" s="20" t="n">
        <x:f>G42</x:f>
        <x:v>571.9703780516743</x:v>
      </x:c>
      <x:c r="Y42" s="20" t="n">
        <x:f>H42+U42</x:f>
        <x:v>216.0544200145561</x:v>
      </x:c>
      <x:c r="Z42" s="20" t="n">
        <x:f>G42-V42</x:f>
        <x:v>571.9703780516743</x:v>
      </x:c>
      <x:c r="AA42" s="20" t="n">
        <x:f>Y42-W42</x:f>
        <x:v>216.0544200145561</x:v>
      </x:c>
      <x:c r="AB42" s="20" t="n">
        <x:f>Z42-AA42</x:f>
        <x:v>355.91595803711823</x:v>
      </x:c>
    </x:row>
    <x:row r="43" ht="21" customHeight="1">
      <x:c r="A43" s="2" t="str">
        <x:v>Эконом/комфорт</x:v>
      </x:c>
      <x:c r="B43" s="12" t="n">
        <x:v>2029</x:v>
      </x:c>
      <x:c r="C43" s="12" t="n">
        <x:v>2033</x:v>
      </x:c>
      <x:c r="D43" s="20" t="n">
        <x:f>Z33</x:f>
        <x:v>15.755265916377988</x:v>
      </x:c>
      <x:c r="E43" s="20" t="n">
        <x:f>AA33</x:f>
        <x:v>0</x:v>
      </x:c>
      <x:c r="F43" s="24" t="n">
        <x:f>'Расчет'!E8*'Допущения'!F24</x:f>
        <x:v>84.23768748564987</x:v>
      </x:c>
      <x:c r="G43" s="20" t="n">
        <x:f>D43+F43</x:f>
        <x:v>99.99295340202787</x:v>
      </x:c>
      <x:c r="H43" s="20" t="n">
        <x:f>E43</x:f>
        <x:v>0</x:v>
      </x:c>
      <x:c r="I43" s="20" t="n">
        <x:f>MAX(0,G43-H43)</x:f>
        <x:v>99.99295340202787</x:v>
      </x:c>
      <x:c r="J43" s="38" t="n">
        <x:f>'Допущения'!F30</x:f>
        <x:v>0.0425</x:v>
      </x:c>
      <x:c r="K43" s="39" t="n">
        <x:f>IF(I43-(0)&gt;0.000000001,J43,0)</x:f>
        <x:v>0.0425</x:v>
      </x:c>
      <x:c r="L43" s="24" t="n">
        <x:f>IF(SUM(K$36:K$45)&gt;0,MIN(MAX(0,I43-(0)),MAX(0,'Расчет'!E17-(0))*K43/SUM(K$36:K$45)),0)</x:f>
        <x:v>47.18137557916501</x:v>
      </x:c>
      <x:c r="M43" s="20" t="n">
        <x:f>IF(I43-(L43)&gt;0.000000001,J43,0)</x:f>
        <x:v>0.0425</x:v>
      </x:c>
      <x:c r="N43" s="24" t="n">
        <x:f>IF(SUM(M$36:M$45)&gt;0,MIN(MAX(0,I43-(L43)),MAX(0,'Расчет'!E17-(SUM(L36:L45)))*M43/SUM(M$36:M$45)),0)</x:f>
        <x:v>9.663381206337363e-15</x:v>
      </x:c>
      <x:c r="O43" s="20" t="n">
        <x:f>IF(I43-(L43+N43)&gt;0.000000001,J43,0)</x:f>
        <x:v>0.0425</x:v>
      </x:c>
      <x:c r="P43" s="24" t="n">
        <x:f>IF(SUM(O$36:O$45)&gt;0,MIN(MAX(0,I43-(L43+N43)),MAX(0,'Расчет'!E17-(SUM(L36:L45)+SUM(N36:N45)))*O43/SUM(O$36:O$45)),0)</x:f>
        <x:v>0</x:v>
      </x:c>
      <x:c r="Q43" s="20" t="n">
        <x:f>IF(I43-(L43+N43+P43)&gt;0.000000001,J43,0)</x:f>
        <x:v>0.0425</x:v>
      </x:c>
      <x:c r="R43" s="24" t="n">
        <x:f>IF(SUM(Q$36:Q$45)&gt;0,MIN(MAX(0,I43-(L43+N43+P43)),MAX(0,'Расчет'!E17-(SUM(L36:L45)+SUM(N36:N45)+SUM(P36:P45)))*Q43/SUM(Q$36:Q$45)),0)</x:f>
        <x:v>0</x:v>
      </x:c>
      <x:c r="S43" s="20" t="n">
        <x:f>IF(I43-(L43+N43+P43+R43)&gt;0.000000001,J43,0)</x:f>
        <x:v>0.0425</x:v>
      </x:c>
      <x:c r="T43" s="24" t="n">
        <x:f>IF(SUM(S$36:S$45)&gt;0,MIN(MAX(0,I43-(L43+N43+P43+R43)),MAX(0,'Расчет'!E17-(SUM(L36:L45)+SUM(N36:N45)+SUM(P36:P45)+SUM(R36:R45)))*S43/SUM(S$36:S$45)),0)</x:f>
        <x:v>0</x:v>
      </x:c>
      <x:c r="U43" s="20" t="n">
        <x:f>SUM(L43,N43,P43,R43,T43)</x:f>
        <x:v>47.181375579165014</x:v>
      </x:c>
      <x:c r="V43" s="20" t="n">
        <x:f>0</x:f>
        <x:v>0</x:v>
      </x:c>
      <x:c r="W43" s="20" t="n">
        <x:f>0</x:f>
        <x:v>0</x:v>
      </x:c>
      <x:c r="X43" s="20" t="n">
        <x:f>G43</x:f>
        <x:v>99.99295340202787</x:v>
      </x:c>
      <x:c r="Y43" s="20" t="n">
        <x:f>H43+U43</x:f>
        <x:v>47.181375579165014</x:v>
      </x:c>
      <x:c r="Z43" s="20" t="n">
        <x:f>G43-V43</x:f>
        <x:v>99.99295340202787</x:v>
      </x:c>
      <x:c r="AA43" s="20" t="n">
        <x:f>Y43-W43</x:f>
        <x:v>47.181375579165014</x:v>
      </x:c>
      <x:c r="AB43" s="20" t="n">
        <x:f>Z43-AA43</x:f>
        <x:v>52.81157782286285</x:v>
      </x:c>
    </x:row>
    <x:row r="44" ht="21" customHeight="1">
      <x:c r="A44" s="2" t="str">
        <x:v>Эконом/комфорт</x:v>
      </x:c>
      <x:c r="B44" s="12" t="n">
        <x:v>2029</x:v>
      </x:c>
      <x:c r="C44" s="12" t="n">
        <x:v>2034</x:v>
      </x:c>
      <x:c r="D44" s="20" t="n">
        <x:f>Z34</x:f>
        <x:v>0</x:v>
      </x:c>
      <x:c r="E44" s="20" t="n">
        <x:f>AA34</x:f>
        <x:v>0</x:v>
      </x:c>
      <x:c r="F44" s="24" t="n">
        <x:f>'Расчет'!E8*'Допущения'!G24</x:f>
        <x:v>16.903029710793533</x:v>
      </x:c>
      <x:c r="G44" s="20" t="n">
        <x:f>D44+F44</x:f>
        <x:v>16.903029710793533</x:v>
      </x:c>
      <x:c r="H44" s="20" t="n">
        <x:f>E44</x:f>
        <x:v>0</x:v>
      </x:c>
      <x:c r="I44" s="20" t="n">
        <x:f>MAX(0,G44-H44)</x:f>
        <x:v>16.903029710793533</x:v>
      </x:c>
      <x:c r="J44" s="39" t="n">
        <x:f>0</x:f>
        <x:v>0</x:v>
      </x:c>
      <x:c r="K44" s="39" t="n">
        <x:f>IF(I44-(0)&gt;0.000000001,J44,0)</x:f>
        <x:v>0</x:v>
      </x:c>
      <x:c r="L44" s="24" t="n">
        <x:f>IF(SUM(K$36:K$45)&gt;0,MIN(MAX(0,I44-(0)),MAX(0,'Расчет'!E17-(0))*K44/SUM(K$36:K$45)),0)</x:f>
        <x:v>0</x:v>
      </x:c>
      <x:c r="M44" s="20" t="n">
        <x:f>IF(I44-(L44)&gt;0.000000001,J44,0)</x:f>
        <x:v>0</x:v>
      </x:c>
      <x:c r="N44" s="24" t="n">
        <x:f>IF(SUM(M$36:M$45)&gt;0,MIN(MAX(0,I44-(L44)),MAX(0,'Расчет'!E17-(SUM(L36:L45)))*M44/SUM(M$36:M$45)),0)</x:f>
        <x:v>0</x:v>
      </x:c>
      <x:c r="O44" s="20" t="n">
        <x:f>IF(I44-(L44+N44)&gt;0.000000001,J44,0)</x:f>
        <x:v>0</x:v>
      </x:c>
      <x:c r="P44" s="24" t="n">
        <x:f>IF(SUM(O$36:O$45)&gt;0,MIN(MAX(0,I44-(L44+N44)),MAX(0,'Расчет'!E17-(SUM(L36:L45)+SUM(N36:N45)))*O44/SUM(O$36:O$45)),0)</x:f>
        <x:v>0</x:v>
      </x:c>
      <x:c r="Q44" s="20" t="n">
        <x:f>IF(I44-(L44+N44+P44)&gt;0.000000001,J44,0)</x:f>
        <x:v>0</x:v>
      </x:c>
      <x:c r="R44" s="24" t="n">
        <x:f>IF(SUM(Q$36:Q$45)&gt;0,MIN(MAX(0,I44-(L44+N44+P44)),MAX(0,'Расчет'!E17-(SUM(L36:L45)+SUM(N36:N45)+SUM(P36:P45)))*Q44/SUM(Q$36:Q$45)),0)</x:f>
        <x:v>0</x:v>
      </x:c>
      <x:c r="S44" s="20" t="n">
        <x:f>IF(I44-(L44+N44+P44+R44)&gt;0.000000001,J44,0)</x:f>
        <x:v>0</x:v>
      </x:c>
      <x:c r="T44" s="24" t="n">
        <x:f>IF(SUM(S$36:S$45)&gt;0,MIN(MAX(0,I44-(L44+N44+P44+R44)),MAX(0,'Расчет'!E17-(SUM(L36:L45)+SUM(N36:N45)+SUM(P36:P45)+SUM(R36:R45)))*S44/SUM(S$36:S$45)),0)</x:f>
        <x:v>0</x:v>
      </x:c>
      <x:c r="U44" s="20" t="n">
        <x:f>SUM(L44,N44,P44,R44,T44)</x:f>
        <x:v>0</x:v>
      </x:c>
      <x:c r="V44" s="20" t="n">
        <x:f>0</x:f>
        <x:v>0</x:v>
      </x:c>
      <x:c r="W44" s="20" t="n">
        <x:f>0</x:f>
        <x:v>0</x:v>
      </x:c>
      <x:c r="X44" s="20" t="n">
        <x:f>G44</x:f>
        <x:v>16.903029710793533</x:v>
      </x:c>
      <x:c r="Y44" s="20" t="n">
        <x:f>H44+U44</x:f>
        <x:v>0</x:v>
      </x:c>
      <x:c r="Z44" s="20" t="n">
        <x:f>G44-V44</x:f>
        <x:v>16.903029710793533</x:v>
      </x:c>
      <x:c r="AA44" s="20" t="n">
        <x:f>Y44-W44</x:f>
        <x:v>0</x:v>
      </x:c>
      <x:c r="AB44" s="20" t="n">
        <x:f>Z44-AA44</x:f>
        <x:v>16.903029710793533</x:v>
      </x:c>
    </x:row>
    <x:row r="45" ht="21" customHeight="1">
      <x:c r="A45" s="2" t="str">
        <x:v>Эконом/комфорт</x:v>
      </x:c>
      <x:c r="B45" s="12" t="n">
        <x:v>2029</x:v>
      </x:c>
      <x:c r="C45" s="12" t="n">
        <x:v>2035</x:v>
      </x:c>
      <x:c r="D45" s="20" t="n">
        <x:f>Z35</x:f>
        <x:v>0</x:v>
      </x:c>
      <x:c r="E45" s="20" t="n">
        <x:f>AA35</x:f>
        <x:v>0</x:v>
      </x:c>
      <x:c r="F45" s="20" t="n">
        <x:f>0</x:f>
        <x:v>0</x:v>
      </x:c>
      <x:c r="G45" s="20" t="n">
        <x:f>D45+F45</x:f>
        <x:v>0</x:v>
      </x:c>
      <x:c r="H45" s="20" t="n">
        <x:f>E45</x:f>
        <x:v>0</x:v>
      </x:c>
      <x:c r="I45" s="20" t="n">
        <x:f>MAX(0,G45-H45)</x:f>
        <x:v>0</x:v>
      </x:c>
      <x:c r="J45" s="39" t="n">
        <x:f>0</x:f>
        <x:v>0</x:v>
      </x:c>
      <x:c r="K45" s="39" t="n">
        <x:f>IF(I45-(0)&gt;0.000000001,J45,0)</x:f>
        <x:v>0</x:v>
      </x:c>
      <x:c r="L45" s="24" t="n">
        <x:f>IF(SUM(K$36:K$45)&gt;0,MIN(MAX(0,I45-(0)),MAX(0,'Расчет'!E17-(0))*K45/SUM(K$36:K$45)),0)</x:f>
        <x:v>0</x:v>
      </x:c>
      <x:c r="M45" s="20" t="n">
        <x:f>IF(I45-(L45)&gt;0.000000001,J45,0)</x:f>
        <x:v>0</x:v>
      </x:c>
      <x:c r="N45" s="24" t="n">
        <x:f>IF(SUM(M$36:M$45)&gt;0,MIN(MAX(0,I45-(L45)),MAX(0,'Расчет'!E17-(SUM(L36:L45)))*M45/SUM(M$36:M$45)),0)</x:f>
        <x:v>0</x:v>
      </x:c>
      <x:c r="O45" s="20" t="n">
        <x:f>IF(I45-(L45+N45)&gt;0.000000001,J45,0)</x:f>
        <x:v>0</x:v>
      </x:c>
      <x:c r="P45" s="24" t="n">
        <x:f>IF(SUM(O$36:O$45)&gt;0,MIN(MAX(0,I45-(L45+N45)),MAX(0,'Расчет'!E17-(SUM(L36:L45)+SUM(N36:N45)))*O45/SUM(O$36:O$45)),0)</x:f>
        <x:v>0</x:v>
      </x:c>
      <x:c r="Q45" s="20" t="n">
        <x:f>IF(I45-(L45+N45+P45)&gt;0.000000001,J45,0)</x:f>
        <x:v>0</x:v>
      </x:c>
      <x:c r="R45" s="24" t="n">
        <x:f>IF(SUM(Q$36:Q$45)&gt;0,MIN(MAX(0,I45-(L45+N45+P45)),MAX(0,'Расчет'!E17-(SUM(L36:L45)+SUM(N36:N45)+SUM(P36:P45)))*Q45/SUM(Q$36:Q$45)),0)</x:f>
        <x:v>0</x:v>
      </x:c>
      <x:c r="S45" s="20" t="n">
        <x:f>IF(I45-(L45+N45+P45+R45)&gt;0.000000001,J45,0)</x:f>
        <x:v>0</x:v>
      </x:c>
      <x:c r="T45" s="24" t="n">
        <x:f>IF(SUM(S$36:S$45)&gt;0,MIN(MAX(0,I45-(L45+N45+P45+R45)),MAX(0,'Расчет'!E17-(SUM(L36:L45)+SUM(N36:N45)+SUM(P36:P45)+SUM(R36:R45)))*S45/SUM(S$36:S$45)),0)</x:f>
        <x:v>0</x:v>
      </x:c>
      <x:c r="U45" s="20" t="n">
        <x:f>SUM(L45,N45,P45,R45,T45)</x:f>
        <x:v>0</x:v>
      </x:c>
      <x:c r="V45" s="20" t="n">
        <x:f>0</x:f>
        <x:v>0</x:v>
      </x:c>
      <x:c r="W45" s="20" t="n">
        <x:f>0</x:f>
        <x:v>0</x:v>
      </x:c>
      <x:c r="X45" s="20" t="n">
        <x:f>G45</x:f>
        <x:v>0</x:v>
      </x:c>
      <x:c r="Y45" s="20" t="n">
        <x:f>H45+U45</x:f>
        <x:v>0</x:v>
      </x:c>
      <x:c r="Z45" s="20" t="n">
        <x:f>G45-V45</x:f>
        <x:v>0</x:v>
      </x:c>
      <x:c r="AA45" s="20" t="n">
        <x:f>Y45-W45</x:f>
        <x:v>0</x:v>
      </x:c>
      <x:c r="AB45" s="20" t="n">
        <x:f>Z45-AA45</x:f>
        <x:v>0</x:v>
      </x:c>
    </x:row>
    <x:row r="46" ht="21" customHeight="1">
      <x:c r="A46" s="2" t="str">
        <x:v>Эконом/комфорт</x:v>
      </x:c>
      <x:c r="B46" s="12" t="n">
        <x:v>2030</x:v>
      </x:c>
      <x:c r="C46" s="12" t="n">
        <x:v>2026</x:v>
      </x:c>
      <x:c r="D46" s="20" t="n">
        <x:f>0</x:f>
        <x:v>0</x:v>
      </x:c>
      <x:c r="E46" s="20" t="n">
        <x:f>0</x:f>
        <x:v>0</x:v>
      </x:c>
      <x:c r="F46" s="20" t="n">
        <x:f>0</x:f>
        <x:v>0</x:v>
      </x:c>
      <x:c r="G46" s="20" t="n">
        <x:f>D46+F46</x:f>
        <x:v>0</x:v>
      </x:c>
      <x:c r="H46" s="20" t="n">
        <x:f>E46</x:f>
        <x:v>0</x:v>
      </x:c>
      <x:c r="I46" s="20" t="n">
        <x:f>MAX(0,G46-H46)</x:f>
        <x:v>0</x:v>
      </x:c>
      <x:c r="J46" s="39" t="n">
        <x:f>0</x:f>
        <x:v>0</x:v>
      </x:c>
      <x:c r="K46" s="39" t="n">
        <x:f>IF(I46-(0)&gt;0.000000001,J46,0)</x:f>
        <x:v>0</x:v>
      </x:c>
      <x:c r="L46" s="24" t="n">
        <x:f>IF(SUM(K$46:K$55)&gt;0,MIN(MAX(0,I46-(0)),MAX(0,'Расчет'!F17-(0))*K46/SUM(K$46:K$55)),0)</x:f>
        <x:v>0</x:v>
      </x:c>
      <x:c r="M46" s="20" t="n">
        <x:f>IF(I46-(L46)&gt;0.000000001,J46,0)</x:f>
        <x:v>0</x:v>
      </x:c>
      <x:c r="N46" s="24" t="n">
        <x:f>IF(SUM(M$46:M$55)&gt;0,MIN(MAX(0,I46-(L46)),MAX(0,'Расчет'!F17-(SUM(L46:L55)))*M46/SUM(M$46:M$55)),0)</x:f>
        <x:v>0</x:v>
      </x:c>
      <x:c r="O46" s="20" t="n">
        <x:f>IF(I46-(L46+N46)&gt;0.000000001,J46,0)</x:f>
        <x:v>0</x:v>
      </x:c>
      <x:c r="P46" s="24" t="n">
        <x:f>IF(SUM(O$46:O$55)&gt;0,MIN(MAX(0,I46-(L46+N46)),MAX(0,'Расчет'!F17-(SUM(L46:L55)+SUM(N46:N55)))*O46/SUM(O$46:O$55)),0)</x:f>
        <x:v>0</x:v>
      </x:c>
      <x:c r="Q46" s="20" t="n">
        <x:f>IF(I46-(L46+N46+P46)&gt;0.000000001,J46,0)</x:f>
        <x:v>0</x:v>
      </x:c>
      <x:c r="R46" s="24" t="n">
        <x:f>IF(SUM(Q$46:Q$55)&gt;0,MIN(MAX(0,I46-(L46+N46+P46)),MAX(0,'Расчет'!F17-(SUM(L46:L55)+SUM(N46:N55)+SUM(P46:P55)))*Q46/SUM(Q$46:Q$55)),0)</x:f>
        <x:v>0</x:v>
      </x:c>
      <x:c r="S46" s="20" t="n">
        <x:f>IF(I46-(L46+N46+P46+R46)&gt;0.000000001,J46,0)</x:f>
        <x:v>0</x:v>
      </x:c>
      <x:c r="T46" s="24" t="n">
        <x:f>IF(SUM(S$46:S$55)&gt;0,MIN(MAX(0,I46-(L46+N46+P46+R46)),MAX(0,'Расчет'!F17-(SUM(L46:L55)+SUM(N46:N55)+SUM(P46:P55)+SUM(R46:R55)))*S46/SUM(S$46:S$55)),0)</x:f>
        <x:v>0</x:v>
      </x:c>
      <x:c r="U46" s="20" t="n">
        <x:f>SUM(L46,N46,P46,R46,T46)</x:f>
        <x:v>0</x:v>
      </x:c>
      <x:c r="V46" s="20" t="n">
        <x:f>0</x:f>
        <x:v>0</x:v>
      </x:c>
      <x:c r="W46" s="20" t="n">
        <x:f>0</x:f>
        <x:v>0</x:v>
      </x:c>
      <x:c r="X46" s="20" t="n">
        <x:f>G46</x:f>
        <x:v>0</x:v>
      </x:c>
      <x:c r="Y46" s="20" t="n">
        <x:f>H46+U46</x:f>
        <x:v>0</x:v>
      </x:c>
      <x:c r="Z46" s="20" t="n">
        <x:f>G46-V46</x:f>
        <x:v>0</x:v>
      </x:c>
      <x:c r="AA46" s="20" t="n">
        <x:f>Y46-W46</x:f>
        <x:v>0</x:v>
      </x:c>
      <x:c r="AB46" s="20" t="n">
        <x:f>Z46-AA46</x:f>
        <x:v>0</x:v>
      </x:c>
    </x:row>
    <x:row r="47" ht="21" customHeight="1">
      <x:c r="A47" s="2" t="str">
        <x:v>Эконом/комфорт</x:v>
      </x:c>
      <x:c r="B47" s="12" t="n">
        <x:v>2030</x:v>
      </x:c>
      <x:c r="C47" s="12" t="n">
        <x:v>2027</x:v>
      </x:c>
      <x:c r="D47" s="20" t="n">
        <x:f>0</x:f>
        <x:v>0</x:v>
      </x:c>
      <x:c r="E47" s="20" t="n">
        <x:f>0</x:f>
        <x:v>0</x:v>
      </x:c>
      <x:c r="F47" s="20" t="n">
        <x:f>0</x:f>
        <x:v>0</x:v>
      </x:c>
      <x:c r="G47" s="20" t="n">
        <x:f>D47+F47</x:f>
        <x:v>0</x:v>
      </x:c>
      <x:c r="H47" s="20" t="n">
        <x:f>E47</x:f>
        <x:v>0</x:v>
      </x:c>
      <x:c r="I47" s="20" t="n">
        <x:f>MAX(0,G47-H47)</x:f>
        <x:v>0</x:v>
      </x:c>
      <x:c r="J47" s="39" t="n">
        <x:f>0</x:f>
        <x:v>0</x:v>
      </x:c>
      <x:c r="K47" s="39" t="n">
        <x:f>IF(I47-(0)&gt;0.000000001,J47,0)</x:f>
        <x:v>0</x:v>
      </x:c>
      <x:c r="L47" s="24" t="n">
        <x:f>IF(SUM(K$46:K$55)&gt;0,MIN(MAX(0,I47-(0)),MAX(0,'Расчет'!F17-(0))*K47/SUM(K$46:K$55)),0)</x:f>
        <x:v>0</x:v>
      </x:c>
      <x:c r="M47" s="20" t="n">
        <x:f>IF(I47-(L47)&gt;0.000000001,J47,0)</x:f>
        <x:v>0</x:v>
      </x:c>
      <x:c r="N47" s="24" t="n">
        <x:f>IF(SUM(M$46:M$55)&gt;0,MIN(MAX(0,I47-(L47)),MAX(0,'Расчет'!F17-(SUM(L46:L55)))*M47/SUM(M$46:M$55)),0)</x:f>
        <x:v>0</x:v>
      </x:c>
      <x:c r="O47" s="20" t="n">
        <x:f>IF(I47-(L47+N47)&gt;0.000000001,J47,0)</x:f>
        <x:v>0</x:v>
      </x:c>
      <x:c r="P47" s="24" t="n">
        <x:f>IF(SUM(O$46:O$55)&gt;0,MIN(MAX(0,I47-(L47+N47)),MAX(0,'Расчет'!F17-(SUM(L46:L55)+SUM(N46:N55)))*O47/SUM(O$46:O$55)),0)</x:f>
        <x:v>0</x:v>
      </x:c>
      <x:c r="Q47" s="20" t="n">
        <x:f>IF(I47-(L47+N47+P47)&gt;0.000000001,J47,0)</x:f>
        <x:v>0</x:v>
      </x:c>
      <x:c r="R47" s="24" t="n">
        <x:f>IF(SUM(Q$46:Q$55)&gt;0,MIN(MAX(0,I47-(L47+N47+P47)),MAX(0,'Расчет'!F17-(SUM(L46:L55)+SUM(N46:N55)+SUM(P46:P55)))*Q47/SUM(Q$46:Q$55)),0)</x:f>
        <x:v>0</x:v>
      </x:c>
      <x:c r="S47" s="20" t="n">
        <x:f>IF(I47-(L47+N47+P47+R47)&gt;0.000000001,J47,0)</x:f>
        <x:v>0</x:v>
      </x:c>
      <x:c r="T47" s="24" t="n">
        <x:f>IF(SUM(S$46:S$55)&gt;0,MIN(MAX(0,I47-(L47+N47+P47+R47)),MAX(0,'Расчет'!F17-(SUM(L46:L55)+SUM(N46:N55)+SUM(P46:P55)+SUM(R46:R55)))*S47/SUM(S$46:S$55)),0)</x:f>
        <x:v>0</x:v>
      </x:c>
      <x:c r="U47" s="20" t="n">
        <x:f>SUM(L47,N47,P47,R47,T47)</x:f>
        <x:v>0</x:v>
      </x:c>
      <x:c r="V47" s="20" t="n">
        <x:f>0</x:f>
        <x:v>0</x:v>
      </x:c>
      <x:c r="W47" s="20" t="n">
        <x:f>0</x:f>
        <x:v>0</x:v>
      </x:c>
      <x:c r="X47" s="20" t="n">
        <x:f>G47</x:f>
        <x:v>0</x:v>
      </x:c>
      <x:c r="Y47" s="20" t="n">
        <x:f>H47+U47</x:f>
        <x:v>0</x:v>
      </x:c>
      <x:c r="Z47" s="20" t="n">
        <x:f>G47-V47</x:f>
        <x:v>0</x:v>
      </x:c>
      <x:c r="AA47" s="20" t="n">
        <x:f>Y47-W47</x:f>
        <x:v>0</x:v>
      </x:c>
      <x:c r="AB47" s="20" t="n">
        <x:f>Z47-AA47</x:f>
        <x:v>0</x:v>
      </x:c>
    </x:row>
    <x:row r="48" ht="21" customHeight="1">
      <x:c r="A48" s="2" t="str">
        <x:v>Эконом/комфорт</x:v>
      </x:c>
      <x:c r="B48" s="12" t="n">
        <x:v>2030</x:v>
      </x:c>
      <x:c r="C48" s="12" t="n">
        <x:v>2028</x:v>
      </x:c>
      <x:c r="D48" s="20" t="n">
        <x:f>0</x:f>
        <x:v>0</x:v>
      </x:c>
      <x:c r="E48" s="20" t="n">
        <x:f>0</x:f>
        <x:v>0</x:v>
      </x:c>
      <x:c r="F48" s="20" t="n">
        <x:f>0</x:f>
        <x:v>0</x:v>
      </x:c>
      <x:c r="G48" s="20" t="n">
        <x:f>D48+F48</x:f>
        <x:v>0</x:v>
      </x:c>
      <x:c r="H48" s="20" t="n">
        <x:f>E48</x:f>
        <x:v>0</x:v>
      </x:c>
      <x:c r="I48" s="20" t="n">
        <x:f>MAX(0,G48-H48)</x:f>
        <x:v>0</x:v>
      </x:c>
      <x:c r="J48" s="39" t="n">
        <x:f>0</x:f>
        <x:v>0</x:v>
      </x:c>
      <x:c r="K48" s="39" t="n">
        <x:f>IF(I48-(0)&gt;0.000000001,J48,0)</x:f>
        <x:v>0</x:v>
      </x:c>
      <x:c r="L48" s="24" t="n">
        <x:f>IF(SUM(K$46:K$55)&gt;0,MIN(MAX(0,I48-(0)),MAX(0,'Расчет'!F17-(0))*K48/SUM(K$46:K$55)),0)</x:f>
        <x:v>0</x:v>
      </x:c>
      <x:c r="M48" s="20" t="n">
        <x:f>IF(I48-(L48)&gt;0.000000001,J48,0)</x:f>
        <x:v>0</x:v>
      </x:c>
      <x:c r="N48" s="24" t="n">
        <x:f>IF(SUM(M$46:M$55)&gt;0,MIN(MAX(0,I48-(L48)),MAX(0,'Расчет'!F17-(SUM(L46:L55)))*M48/SUM(M$46:M$55)),0)</x:f>
        <x:v>0</x:v>
      </x:c>
      <x:c r="O48" s="20" t="n">
        <x:f>IF(I48-(L48+N48)&gt;0.000000001,J48,0)</x:f>
        <x:v>0</x:v>
      </x:c>
      <x:c r="P48" s="24" t="n">
        <x:f>IF(SUM(O$46:O$55)&gt;0,MIN(MAX(0,I48-(L48+N48)),MAX(0,'Расчет'!F17-(SUM(L46:L55)+SUM(N46:N55)))*O48/SUM(O$46:O$55)),0)</x:f>
        <x:v>0</x:v>
      </x:c>
      <x:c r="Q48" s="20" t="n">
        <x:f>IF(I48-(L48+N48+P48)&gt;0.000000001,J48,0)</x:f>
        <x:v>0</x:v>
      </x:c>
      <x:c r="R48" s="24" t="n">
        <x:f>IF(SUM(Q$46:Q$55)&gt;0,MIN(MAX(0,I48-(L48+N48+P48)),MAX(0,'Расчет'!F17-(SUM(L46:L55)+SUM(N46:N55)+SUM(P46:P55)))*Q48/SUM(Q$46:Q$55)),0)</x:f>
        <x:v>0</x:v>
      </x:c>
      <x:c r="S48" s="20" t="n">
        <x:f>IF(I48-(L48+N48+P48+R48)&gt;0.000000001,J48,0)</x:f>
        <x:v>0</x:v>
      </x:c>
      <x:c r="T48" s="24" t="n">
        <x:f>IF(SUM(S$46:S$55)&gt;0,MIN(MAX(0,I48-(L48+N48+P48+R48)),MAX(0,'Расчет'!F17-(SUM(L46:L55)+SUM(N46:N55)+SUM(P46:P55)+SUM(R46:R55)))*S48/SUM(S$46:S$55)),0)</x:f>
        <x:v>0</x:v>
      </x:c>
      <x:c r="U48" s="20" t="n">
        <x:f>SUM(L48,N48,P48,R48,T48)</x:f>
        <x:v>0</x:v>
      </x:c>
      <x:c r="V48" s="20" t="n">
        <x:f>0</x:f>
        <x:v>0</x:v>
      </x:c>
      <x:c r="W48" s="20" t="n">
        <x:f>0</x:f>
        <x:v>0</x:v>
      </x:c>
      <x:c r="X48" s="20" t="n">
        <x:f>G48</x:f>
        <x:v>0</x:v>
      </x:c>
      <x:c r="Y48" s="20" t="n">
        <x:f>H48+U48</x:f>
        <x:v>0</x:v>
      </x:c>
      <x:c r="Z48" s="20" t="n">
        <x:f>G48-V48</x:f>
        <x:v>0</x:v>
      </x:c>
      <x:c r="AA48" s="20" t="n">
        <x:f>Y48-W48</x:f>
        <x:v>0</x:v>
      </x:c>
      <x:c r="AB48" s="20" t="n">
        <x:f>Z48-AA48</x:f>
        <x:v>0</x:v>
      </x:c>
    </x:row>
    <x:row r="49" ht="21" customHeight="1">
      <x:c r="A49" s="2" t="str">
        <x:v>Эконом/комфорт</x:v>
      </x:c>
      <x:c r="B49" s="12" t="n">
        <x:v>2030</x:v>
      </x:c>
      <x:c r="C49" s="12" t="n">
        <x:v>2029</x:v>
      </x:c>
      <x:c r="D49" s="20" t="n">
        <x:f>0</x:f>
        <x:v>0</x:v>
      </x:c>
      <x:c r="E49" s="20" t="n">
        <x:f>0</x:f>
        <x:v>0</x:v>
      </x:c>
      <x:c r="F49" s="20" t="n">
        <x:f>0</x:f>
        <x:v>0</x:v>
      </x:c>
      <x:c r="G49" s="20" t="n">
        <x:f>D49+F49</x:f>
        <x:v>0</x:v>
      </x:c>
      <x:c r="H49" s="20" t="n">
        <x:f>E49</x:f>
        <x:v>0</x:v>
      </x:c>
      <x:c r="I49" s="20" t="n">
        <x:f>MAX(0,G49-H49)</x:f>
        <x:v>0</x:v>
      </x:c>
      <x:c r="J49" s="39" t="n">
        <x:f>0</x:f>
        <x:v>0</x:v>
      </x:c>
      <x:c r="K49" s="39" t="n">
        <x:f>IF(I49-(0)&gt;0.000000001,J49,0)</x:f>
        <x:v>0</x:v>
      </x:c>
      <x:c r="L49" s="24" t="n">
        <x:f>IF(SUM(K$46:K$55)&gt;0,MIN(MAX(0,I49-(0)),MAX(0,'Расчет'!F17-(0))*K49/SUM(K$46:K$55)),0)</x:f>
        <x:v>0</x:v>
      </x:c>
      <x:c r="M49" s="20" t="n">
        <x:f>IF(I49-(L49)&gt;0.000000001,J49,0)</x:f>
        <x:v>0</x:v>
      </x:c>
      <x:c r="N49" s="24" t="n">
        <x:f>IF(SUM(M$46:M$55)&gt;0,MIN(MAX(0,I49-(L49)),MAX(0,'Расчет'!F17-(SUM(L46:L55)))*M49/SUM(M$46:M$55)),0)</x:f>
        <x:v>0</x:v>
      </x:c>
      <x:c r="O49" s="20" t="n">
        <x:f>IF(I49-(L49+N49)&gt;0.000000001,J49,0)</x:f>
        <x:v>0</x:v>
      </x:c>
      <x:c r="P49" s="24" t="n">
        <x:f>IF(SUM(O$46:O$55)&gt;0,MIN(MAX(0,I49-(L49+N49)),MAX(0,'Расчет'!F17-(SUM(L46:L55)+SUM(N46:N55)))*O49/SUM(O$46:O$55)),0)</x:f>
        <x:v>0</x:v>
      </x:c>
      <x:c r="Q49" s="20" t="n">
        <x:f>IF(I49-(L49+N49+P49)&gt;0.000000001,J49,0)</x:f>
        <x:v>0</x:v>
      </x:c>
      <x:c r="R49" s="24" t="n">
        <x:f>IF(SUM(Q$46:Q$55)&gt;0,MIN(MAX(0,I49-(L49+N49+P49)),MAX(0,'Расчет'!F17-(SUM(L46:L55)+SUM(N46:N55)+SUM(P46:P55)))*Q49/SUM(Q$46:Q$55)),0)</x:f>
        <x:v>0</x:v>
      </x:c>
      <x:c r="S49" s="20" t="n">
        <x:f>IF(I49-(L49+N49+P49+R49)&gt;0.000000001,J49,0)</x:f>
        <x:v>0</x:v>
      </x:c>
      <x:c r="T49" s="24" t="n">
        <x:f>IF(SUM(S$46:S$55)&gt;0,MIN(MAX(0,I49-(L49+N49+P49+R49)),MAX(0,'Расчет'!F17-(SUM(L46:L55)+SUM(N46:N55)+SUM(P46:P55)+SUM(R46:R55)))*S49/SUM(S$46:S$55)),0)</x:f>
        <x:v>0</x:v>
      </x:c>
      <x:c r="U49" s="20" t="n">
        <x:f>SUM(L49,N49,P49,R49,T49)</x:f>
        <x:v>0</x:v>
      </x:c>
      <x:c r="V49" s="20" t="n">
        <x:f>0</x:f>
        <x:v>0</x:v>
      </x:c>
      <x:c r="W49" s="20" t="n">
        <x:f>0</x:f>
        <x:v>0</x:v>
      </x:c>
      <x:c r="X49" s="20" t="n">
        <x:f>G49</x:f>
        <x:v>0</x:v>
      </x:c>
      <x:c r="Y49" s="20" t="n">
        <x:f>H49+U49</x:f>
        <x:v>0</x:v>
      </x:c>
      <x:c r="Z49" s="20" t="n">
        <x:f>G49-V49</x:f>
        <x:v>0</x:v>
      </x:c>
      <x:c r="AA49" s="20" t="n">
        <x:f>Y49-W49</x:f>
        <x:v>0</x:v>
      </x:c>
      <x:c r="AB49" s="20" t="n">
        <x:f>Z49-AA49</x:f>
        <x:v>0</x:v>
      </x:c>
    </x:row>
    <x:row r="50" ht="21" customHeight="1">
      <x:c r="A50" s="2" t="str">
        <x:v>Эконом/комфорт</x:v>
      </x:c>
      <x:c r="B50" s="12" t="n">
        <x:v>2030</x:v>
      </x:c>
      <x:c r="C50" s="12" t="n">
        <x:v>2030</x:v>
      </x:c>
      <x:c r="D50" s="20" t="n">
        <x:f>Z40+Z39</x:f>
        <x:v>1247.975017932097</x:v>
      </x:c>
      <x:c r="E50" s="20" t="n">
        <x:f>AA40+AA39</x:f>
        <x:v>1006.2472747936192</x:v>
      </x:c>
      <x:c r="F50" s="24" t="n">
        <x:f>'Расчет'!F8*'Допущения'!B24</x:f>
        <x:v>0</x:v>
      </x:c>
      <x:c r="G50" s="20" t="n">
        <x:f>D50+F50</x:f>
        <x:v>1247.975017932097</x:v>
      </x:c>
      <x:c r="H50" s="20" t="n">
        <x:f>E50</x:f>
        <x:v>1006.2472747936192</x:v>
      </x:c>
      <x:c r="I50" s="20" t="n">
        <x:f>MAX(0,G50-H50)</x:f>
        <x:v>241.72774313847776</x:v>
      </x:c>
      <x:c r="J50" s="38" t="n">
        <x:f>'Допущения'!B30</x:f>
        <x:v>0.1357</x:v>
      </x:c>
      <x:c r="K50" s="39" t="n">
        <x:f>IF(I50-(0)&gt;0.000000001,J50,0)</x:f>
        <x:v>0.1357</x:v>
      </x:c>
      <x:c r="L50" s="24" t="n">
        <x:f>IF(SUM(K$46:K$55)&gt;0,MIN(MAX(0,I50-(0)),MAX(0,'Расчет'!F17-(0))*K50/SUM(K$46:K$55)),0)</x:f>
        <x:v>145.17990269000478</x:v>
      </x:c>
      <x:c r="M50" s="20" t="n">
        <x:f>IF(I50-(L50)&gt;0.000000001,J50,0)</x:f>
        <x:v>0.1357</x:v>
      </x:c>
      <x:c r="N50" s="24" t="n">
        <x:f>IF(SUM(M$46:M$55)&gt;0,MIN(MAX(0,I50-(L50)),MAX(0,'Расчет'!F17-(SUM(L46:L55)))*M50/SUM(M$46:M$55)),0)</x:f>
        <x:v>3.085460775764659e-14</x:v>
      </x:c>
      <x:c r="O50" s="20" t="n">
        <x:f>IF(I50-(L50+N50)&gt;0.000000001,J50,0)</x:f>
        <x:v>0.1357</x:v>
      </x:c>
      <x:c r="P50" s="24" t="n">
        <x:f>IF(SUM(O$46:O$55)&gt;0,MIN(MAX(0,I50-(L50+N50)),MAX(0,'Расчет'!F17-(SUM(L46:L55)+SUM(N46:N55)))*O50/SUM(O$46:O$55)),0)</x:f>
        <x:v>0</x:v>
      </x:c>
      <x:c r="Q50" s="20" t="n">
        <x:f>IF(I50-(L50+N50+P50)&gt;0.000000001,J50,0)</x:f>
        <x:v>0.1357</x:v>
      </x:c>
      <x:c r="R50" s="24" t="n">
        <x:f>IF(SUM(Q$46:Q$55)&gt;0,MIN(MAX(0,I50-(L50+N50+P50)),MAX(0,'Расчет'!F17-(SUM(L46:L55)+SUM(N46:N55)+SUM(P46:P55)))*Q50/SUM(Q$46:Q$55)),0)</x:f>
        <x:v>0</x:v>
      </x:c>
      <x:c r="S50" s="20" t="n">
        <x:f>IF(I50-(L50+N50+P50+R50)&gt;0.000000001,J50,0)</x:f>
        <x:v>0.1357</x:v>
      </x:c>
      <x:c r="T50" s="24" t="n">
        <x:f>IF(SUM(S$46:S$55)&gt;0,MIN(MAX(0,I50-(L50+N50+P50+R50)),MAX(0,'Расчет'!F17-(SUM(L46:L55)+SUM(N46:N55)+SUM(P46:P55)+SUM(R46:R55)))*S50/SUM(S$46:S$55)),0)</x:f>
        <x:v>0</x:v>
      </x:c>
      <x:c r="U50" s="20" t="n">
        <x:f>SUM(L50,N50,P50,R50,T50)</x:f>
        <x:v>145.1799026900048</x:v>
      </x:c>
      <x:c r="V50" s="24" t="n">
        <x:f>G50*(1-'Допущения'!F7)</x:f>
        <x:v>1185.576267035492</x:v>
      </x:c>
      <x:c r="W50" s="24" t="n">
        <x:f>Y50*(1-'Допущения'!F7)</x:f>
        <x:v>1093.8558186094428</x:v>
      </x:c>
      <x:c r="X50" s="20" t="n">
        <x:f>G50</x:f>
        <x:v>1247.975017932097</x:v>
      </x:c>
      <x:c r="Y50" s="20" t="n">
        <x:f>H50+U50</x:f>
        <x:v>1151.427177483624</x:v>
      </x:c>
      <x:c r="Z50" s="20" t="n">
        <x:f>G50-V50</x:f>
        <x:v>62.39875089660495</x:v>
      </x:c>
      <x:c r="AA50" s="20" t="n">
        <x:f>Y50-W50</x:f>
        <x:v>57.571358874181215</x:v>
      </x:c>
      <x:c r="AB50" s="20" t="n">
        <x:f>Z50-AA50</x:f>
        <x:v>4.827392022423737</x:v>
      </x:c>
    </x:row>
    <x:row r="51" ht="21" customHeight="1">
      <x:c r="A51" s="2" t="str">
        <x:v>Эконом/комфорт</x:v>
      </x:c>
      <x:c r="B51" s="12" t="n">
        <x:v>2030</x:v>
      </x:c>
      <x:c r="C51" s="12" t="n">
        <x:v>2031</x:v>
      </x:c>
      <x:c r="D51" s="20" t="n">
        <x:f>Z41</x:f>
        <x:v>1021.8627867844239</x:v>
      </x:c>
      <x:c r="E51" s="20" t="n">
        <x:f>AA41</x:f>
        <x:v>569.1674795654812</x:v>
      </x:c>
      <x:c r="F51" s="24" t="n">
        <x:f>'Расчет'!F8*'Допущения'!C24</x:f>
        <x:v>242.81525305030934</x:v>
      </x:c>
      <x:c r="G51" s="20" t="n">
        <x:f>D51+F51</x:f>
        <x:v>1264.6780398347332</x:v>
      </x:c>
      <x:c r="H51" s="20" t="n">
        <x:f>E51</x:f>
        <x:v>569.1674795654812</x:v>
      </x:c>
      <x:c r="I51" s="20" t="n">
        <x:f>MAX(0,G51-H51)</x:f>
        <x:v>695.510560269252</x:v>
      </x:c>
      <x:c r="J51" s="38" t="n">
        <x:f>'Допущения'!C30</x:f>
        <x:v>0.3612</x:v>
      </x:c>
      <x:c r="K51" s="39" t="n">
        <x:f>IF(I51-(0)&gt;0.000000001,J51,0)</x:f>
        <x:v>0.3612</x:v>
      </x:c>
      <x:c r="L51" s="24" t="n">
        <x:f>IF(SUM(K$46:K$55)&gt;0,MIN(MAX(0,I51-(0)),MAX(0,'Расчет'!F17-(0))*K51/SUM(K$46:K$55)),0)</x:f>
        <x:v>386.43316766123604</x:v>
      </x:c>
      <x:c r="M51" s="20" t="n">
        <x:f>IF(I51-(L51)&gt;0.000000001,J51,0)</x:f>
        <x:v>0.3612</x:v>
      </x:c>
      <x:c r="N51" s="24" t="n">
        <x:f>IF(SUM(M$46:M$55)&gt;0,MIN(MAX(0,I51-(L51)),MAX(0,'Расчет'!F17-(SUM(L46:L55)))*M51/SUM(M$46:M$55)),0)</x:f>
        <x:v>8.212737157009542e-14</x:v>
      </x:c>
      <x:c r="O51" s="20" t="n">
        <x:f>IF(I51-(L51+N51)&gt;0.000000001,J51,0)</x:f>
        <x:v>0.3612</x:v>
      </x:c>
      <x:c r="P51" s="24" t="n">
        <x:f>IF(SUM(O$46:O$55)&gt;0,MIN(MAX(0,I51-(L51+N51)),MAX(0,'Расчет'!F17-(SUM(L46:L55)+SUM(N46:N55)))*O51/SUM(O$46:O$55)),0)</x:f>
        <x:v>0</x:v>
      </x:c>
      <x:c r="Q51" s="20" t="n">
        <x:f>IF(I51-(L51+N51+P51)&gt;0.000000001,J51,0)</x:f>
        <x:v>0.3612</x:v>
      </x:c>
      <x:c r="R51" s="24" t="n">
        <x:f>IF(SUM(Q$46:Q$55)&gt;0,MIN(MAX(0,I51-(L51+N51+P51)),MAX(0,'Расчет'!F17-(SUM(L46:L55)+SUM(N46:N55)+SUM(P46:P55)))*Q51/SUM(Q$46:Q$55)),0)</x:f>
        <x:v>0</x:v>
      </x:c>
      <x:c r="S51" s="20" t="n">
        <x:f>IF(I51-(L51+N51+P51+R51)&gt;0.000000001,J51,0)</x:f>
        <x:v>0.3612</x:v>
      </x:c>
      <x:c r="T51" s="24" t="n">
        <x:f>IF(SUM(S$46:S$55)&gt;0,MIN(MAX(0,I51-(L51+N51+P51+R51)),MAX(0,'Расчет'!F17-(SUM(L46:L55)+SUM(N46:N55)+SUM(P46:P55)+SUM(R46:R55)))*S51/SUM(S$46:S$55)),0)</x:f>
        <x:v>0</x:v>
      </x:c>
      <x:c r="U51" s="20" t="n">
        <x:f>SUM(L51,N51,P51,R51,T51)</x:f>
        <x:v>386.4331676612361</x:v>
      </x:c>
      <x:c r="V51" s="20" t="n">
        <x:f>0</x:f>
        <x:v>0</x:v>
      </x:c>
      <x:c r="W51" s="20" t="n">
        <x:f>0</x:f>
        <x:v>0</x:v>
      </x:c>
      <x:c r="X51" s="20" t="n">
        <x:f>G51</x:f>
        <x:v>1264.6780398347332</x:v>
      </x:c>
      <x:c r="Y51" s="20" t="n">
        <x:f>H51+U51</x:f>
        <x:v>955.6006472267173</x:v>
      </x:c>
      <x:c r="Z51" s="20" t="n">
        <x:f>G51-V51</x:f>
        <x:v>1264.6780398347332</x:v>
      </x:c>
      <x:c r="AA51" s="20" t="n">
        <x:f>Y51-W51</x:f>
        <x:v>955.6006472267173</x:v>
      </x:c>
      <x:c r="AB51" s="20" t="n">
        <x:f>Z51-AA51</x:f>
        <x:v>309.0773926080159</x:v>
      </x:c>
    </x:row>
    <x:row r="52" ht="21" customHeight="1">
      <x:c r="A52" s="2" t="str">
        <x:v>Эконом/комфорт</x:v>
      </x:c>
      <x:c r="B52" s="12" t="n">
        <x:v>2030</x:v>
      </x:c>
      <x:c r="C52" s="12" t="n">
        <x:v>2032</x:v>
      </x:c>
      <x:c r="D52" s="20" t="n">
        <x:f>Z42</x:f>
        <x:v>571.9703780516743</x:v>
      </x:c>
      <x:c r="E52" s="20" t="n">
        <x:f>AA42</x:f>
        <x:v>216.0544200145561</x:v>
      </x:c>
      <x:c r="F52" s="24" t="n">
        <x:f>'Расчет'!F8*'Допущения'!D24</x:f>
        <x:v>520.0361585685257</x:v>
      </x:c>
      <x:c r="G52" s="20" t="n">
        <x:f>D52+F52</x:f>
        <x:v>1092.0065366202</x:v>
      </x:c>
      <x:c r="H52" s="20" t="n">
        <x:f>E52</x:f>
        <x:v>216.0544200145561</x:v>
      </x:c>
      <x:c r="I52" s="20" t="n">
        <x:f>MAX(0,G52-H52)</x:f>
        <x:v>875.9521166056439</x:v>
      </x:c>
      <x:c r="J52" s="38" t="n">
        <x:f>'Допущения'!D30</x:f>
        <x:v>0.3111</x:v>
      </x:c>
      <x:c r="K52" s="39" t="n">
        <x:f>IF(I52-(0)&gt;0.000000001,J52,0)</x:f>
        <x:v>0.3111</x:v>
      </x:c>
      <x:c r="L52" s="24" t="n">
        <x:f>IF(SUM(K$46:K$55)&gt;0,MIN(MAX(0,I52-(0)),MAX(0,'Расчет'!F17-(0))*K52/SUM(K$46:K$55)),0)</x:f>
        <x:v>332.83321832616423</x:v>
      </x:c>
      <x:c r="M52" s="20" t="n">
        <x:f>IF(I52-(L52)&gt;0.000000001,J52,0)</x:f>
        <x:v>0.3111</x:v>
      </x:c>
      <x:c r="N52" s="24" t="n">
        <x:f>IF(SUM(M$46:M$55)&gt;0,MIN(MAX(0,I52-(L52)),MAX(0,'Расчет'!F17-(SUM(L46:L55)))*M52/SUM(M$46:M$55)),0)</x:f>
        <x:v>7.073595043038949e-14</x:v>
      </x:c>
      <x:c r="O52" s="20" t="n">
        <x:f>IF(I52-(L52+N52)&gt;0.000000001,J52,0)</x:f>
        <x:v>0.3111</x:v>
      </x:c>
      <x:c r="P52" s="24" t="n">
        <x:f>IF(SUM(O$46:O$55)&gt;0,MIN(MAX(0,I52-(L52+N52)),MAX(0,'Расчет'!F17-(SUM(L46:L55)+SUM(N46:N55)))*O52/SUM(O$46:O$55)),0)</x:f>
        <x:v>0</x:v>
      </x:c>
      <x:c r="Q52" s="20" t="n">
        <x:f>IF(I52-(L52+N52+P52)&gt;0.000000001,J52,0)</x:f>
        <x:v>0.3111</x:v>
      </x:c>
      <x:c r="R52" s="24" t="n">
        <x:f>IF(SUM(Q$46:Q$55)&gt;0,MIN(MAX(0,I52-(L52+N52+P52)),MAX(0,'Расчет'!F17-(SUM(L46:L55)+SUM(N46:N55)+SUM(P46:P55)))*Q52/SUM(Q$46:Q$55)),0)</x:f>
        <x:v>0</x:v>
      </x:c>
      <x:c r="S52" s="20" t="n">
        <x:f>IF(I52-(L52+N52+P52+R52)&gt;0.000000001,J52,0)</x:f>
        <x:v>0.3111</x:v>
      </x:c>
      <x:c r="T52" s="24" t="n">
        <x:f>IF(SUM(S$46:S$55)&gt;0,MIN(MAX(0,I52-(L52+N52+P52+R52)),MAX(0,'Расчет'!F17-(SUM(L46:L55)+SUM(N46:N55)+SUM(P46:P55)+SUM(R46:R55)))*S52/SUM(S$46:S$55)),0)</x:f>
        <x:v>0</x:v>
      </x:c>
      <x:c r="U52" s="20" t="n">
        <x:f>SUM(L52,N52,P52,R52,T52)</x:f>
        <x:v>332.8332183261643</x:v>
      </x:c>
      <x:c r="V52" s="20" t="n">
        <x:f>0</x:f>
        <x:v>0</x:v>
      </x:c>
      <x:c r="W52" s="20" t="n">
        <x:f>0</x:f>
        <x:v>0</x:v>
      </x:c>
      <x:c r="X52" s="20" t="n">
        <x:f>G52</x:f>
        <x:v>1092.0065366202</x:v>
      </x:c>
      <x:c r="Y52" s="20" t="n">
        <x:f>H52+U52</x:f>
        <x:v>548.8876383407204</x:v>
      </x:c>
      <x:c r="Z52" s="20" t="n">
        <x:f>G52-V52</x:f>
        <x:v>1092.0065366202</x:v>
      </x:c>
      <x:c r="AA52" s="20" t="n">
        <x:f>Y52-W52</x:f>
        <x:v>548.8876383407204</x:v>
      </x:c>
      <x:c r="AB52" s="20" t="n">
        <x:f>Z52-AA52</x:f>
        <x:v>543.1188982794796</x:v>
      </x:c>
    </x:row>
    <x:row r="53" ht="21" customHeight="1">
      <x:c r="A53" s="2" t="str">
        <x:v>Эконом/комфорт</x:v>
      </x:c>
      <x:c r="B53" s="12" t="n">
        <x:v>2030</x:v>
      </x:c>
      <x:c r="C53" s="12" t="n">
        <x:v>2033</x:v>
      </x:c>
      <x:c r="D53" s="20" t="n">
        <x:f>Z43</x:f>
        <x:v>99.99295340202787</x:v>
      </x:c>
      <x:c r="E53" s="20" t="n">
        <x:f>AA43</x:f>
        <x:v>47.181375579165014</x:v>
      </x:c>
      <x:c r="F53" s="24" t="n">
        <x:f>'Расчет'!F8*'Допущения'!E24</x:f>
        <x:v>496.0339275087858</x:v>
      </x:c>
      <x:c r="G53" s="20" t="n">
        <x:f>D53+F53</x:f>
        <x:v>596.0268809108136</x:v>
      </x:c>
      <x:c r="H53" s="20" t="n">
        <x:f>E53</x:f>
        <x:v>47.181375579165014</x:v>
      </x:c>
      <x:c r="I53" s="20" t="n">
        <x:f>MAX(0,G53-H53)</x:f>
        <x:v>548.8455053316486</x:v>
      </x:c>
      <x:c r="J53" s="38" t="n">
        <x:f>'Допущения'!E30</x:f>
        <x:v>0.1495</x:v>
      </x:c>
      <x:c r="K53" s="39" t="n">
        <x:f>IF(I53-(0)&gt;0.000000001,J53,0)</x:f>
        <x:v>0.1495</x:v>
      </x:c>
      <x:c r="L53" s="24" t="n">
        <x:f>IF(SUM(K$46:K$55)&gt;0,MIN(MAX(0,I53-(0)),MAX(0,'Расчет'!F17-(0))*K53/SUM(K$46:K$55)),0)</x:f>
        <x:v>159.94396059068322</x:v>
      </x:c>
      <x:c r="M53" s="20" t="n">
        <x:f>IF(I53-(L53)&gt;0.000000001,J53,0)</x:f>
        <x:v>0.1495</x:v>
      </x:c>
      <x:c r="N53" s="24" t="n">
        <x:f>IF(SUM(M$46:M$55)&gt;0,MIN(MAX(0,I53-(L53)),MAX(0,'Расчет'!F17-(SUM(L46:L55)))*M53/SUM(M$46:M$55)),0)</x:f>
        <x:v>3.399236447876319e-14</x:v>
      </x:c>
      <x:c r="O53" s="20" t="n">
        <x:f>IF(I53-(L53+N53)&gt;0.000000001,J53,0)</x:f>
        <x:v>0.1495</x:v>
      </x:c>
      <x:c r="P53" s="24" t="n">
        <x:f>IF(SUM(O$46:O$55)&gt;0,MIN(MAX(0,I53-(L53+N53)),MAX(0,'Расчет'!F17-(SUM(L46:L55)+SUM(N46:N55)))*O53/SUM(O$46:O$55)),0)</x:f>
        <x:v>0</x:v>
      </x:c>
      <x:c r="Q53" s="20" t="n">
        <x:f>IF(I53-(L53+N53+P53)&gt;0.000000001,J53,0)</x:f>
        <x:v>0.1495</x:v>
      </x:c>
      <x:c r="R53" s="24" t="n">
        <x:f>IF(SUM(Q$46:Q$55)&gt;0,MIN(MAX(0,I53-(L53+N53+P53)),MAX(0,'Расчет'!F17-(SUM(L46:L55)+SUM(N46:N55)+SUM(P46:P55)))*Q53/SUM(Q$46:Q$55)),0)</x:f>
        <x:v>0</x:v>
      </x:c>
      <x:c r="S53" s="20" t="n">
        <x:f>IF(I53-(L53+N53+P53+R53)&gt;0.000000001,J53,0)</x:f>
        <x:v>0.1495</x:v>
      </x:c>
      <x:c r="T53" s="24" t="n">
        <x:f>IF(SUM(S$46:S$55)&gt;0,MIN(MAX(0,I53-(L53+N53+P53+R53)),MAX(0,'Расчет'!F17-(SUM(L46:L55)+SUM(N46:N55)+SUM(P46:P55)+SUM(R46:R55)))*S53/SUM(S$46:S$55)),0)</x:f>
        <x:v>0</x:v>
      </x:c>
      <x:c r="U53" s="20" t="n">
        <x:f>SUM(L53,N53,P53,R53,T53)</x:f>
        <x:v>159.94396059068325</x:v>
      </x:c>
      <x:c r="V53" s="20" t="n">
        <x:f>0</x:f>
        <x:v>0</x:v>
      </x:c>
      <x:c r="W53" s="20" t="n">
        <x:f>0</x:f>
        <x:v>0</x:v>
      </x:c>
      <x:c r="X53" s="20" t="n">
        <x:f>G53</x:f>
        <x:v>596.0268809108136</x:v>
      </x:c>
      <x:c r="Y53" s="20" t="n">
        <x:f>H53+U53</x:f>
        <x:v>207.12533616984825</x:v>
      </x:c>
      <x:c r="Z53" s="20" t="n">
        <x:f>G53-V53</x:f>
        <x:v>596.0268809108136</x:v>
      </x:c>
      <x:c r="AA53" s="20" t="n">
        <x:f>Y53-W53</x:f>
        <x:v>207.12533616984825</x:v>
      </x:c>
      <x:c r="AB53" s="20" t="n">
        <x:f>Z53-AA53</x:f>
        <x:v>388.90154474096533</x:v>
      </x:c>
    </x:row>
    <x:row r="54" ht="21" customHeight="1">
      <x:c r="A54" s="2" t="str">
        <x:v>Эконом/комфорт</x:v>
      </x:c>
      <x:c r="B54" s="12" t="n">
        <x:v>2030</x:v>
      </x:c>
      <x:c r="C54" s="12" t="n">
        <x:v>2034</x:v>
      </x:c>
      <x:c r="D54" s="20" t="n">
        <x:f>Z44</x:f>
        <x:v>16.903029710793533</x:v>
      </x:c>
      <x:c r="E54" s="20" t="n">
        <x:f>AA44</x:f>
        <x:v>0</x:v>
      </x:c>
      <x:c r="F54" s="24" t="n">
        <x:f>'Расчет'!F8*'Допущения'!F24</x:f>
        <x:v>87.1450442826636</x:v>
      </x:c>
      <x:c r="G54" s="20" t="n">
        <x:f>D54+F54</x:f>
        <x:v>104.04807399345714</x:v>
      </x:c>
      <x:c r="H54" s="20" t="n">
        <x:f>E54</x:f>
        <x:v>0</x:v>
      </x:c>
      <x:c r="I54" s="20" t="n">
        <x:f>MAX(0,G54-H54)</x:f>
        <x:v>104.04807399345714</x:v>
      </x:c>
      <x:c r="J54" s="38" t="n">
        <x:f>'Допущения'!F30</x:f>
        <x:v>0.0425</x:v>
      </x:c>
      <x:c r="K54" s="39" t="n">
        <x:f>IF(I54-(0)&gt;0.000000001,J54,0)</x:f>
        <x:v>0.0425</x:v>
      </x:c>
      <x:c r="L54" s="24" t="n">
        <x:f>IF(SUM(K$46:K$55)&gt;0,MIN(MAX(0,I54-(0)),MAX(0,'Расчет'!F17-(0))*K54/SUM(K$46:K$55)),0)</x:f>
        <x:v>45.46901889701698</x:v>
      </x:c>
      <x:c r="M54" s="20" t="n">
        <x:f>IF(I54-(L54)&gt;0.000000001,J54,0)</x:f>
        <x:v>0.0425</x:v>
      </x:c>
      <x:c r="N54" s="24" t="n">
        <x:f>IF(SUM(M$46:M$55)&gt;0,MIN(MAX(0,I54-(L54)),MAX(0,'Расчет'!F17-(SUM(L46:L55)))*M54/SUM(M$46:M$55)),0)</x:f>
        <x:v>9.663381206337363e-15</x:v>
      </x:c>
      <x:c r="O54" s="20" t="n">
        <x:f>IF(I54-(L54+N54)&gt;0.000000001,J54,0)</x:f>
        <x:v>0.0425</x:v>
      </x:c>
      <x:c r="P54" s="24" t="n">
        <x:f>IF(SUM(O$46:O$55)&gt;0,MIN(MAX(0,I54-(L54+N54)),MAX(0,'Расчет'!F17-(SUM(L46:L55)+SUM(N46:N55)))*O54/SUM(O$46:O$55)),0)</x:f>
        <x:v>0</x:v>
      </x:c>
      <x:c r="Q54" s="20" t="n">
        <x:f>IF(I54-(L54+N54+P54)&gt;0.000000001,J54,0)</x:f>
        <x:v>0.0425</x:v>
      </x:c>
      <x:c r="R54" s="24" t="n">
        <x:f>IF(SUM(Q$46:Q$55)&gt;0,MIN(MAX(0,I54-(L54+N54+P54)),MAX(0,'Расчет'!F17-(SUM(L46:L55)+SUM(N46:N55)+SUM(P46:P55)))*Q54/SUM(Q$46:Q$55)),0)</x:f>
        <x:v>0</x:v>
      </x:c>
      <x:c r="S54" s="20" t="n">
        <x:f>IF(I54-(L54+N54+P54+R54)&gt;0.000000001,J54,0)</x:f>
        <x:v>0.0425</x:v>
      </x:c>
      <x:c r="T54" s="24" t="n">
        <x:f>IF(SUM(S$46:S$55)&gt;0,MIN(MAX(0,I54-(L54+N54+P54+R54)),MAX(0,'Расчет'!F17-(SUM(L46:L55)+SUM(N46:N55)+SUM(P46:P55)+SUM(R46:R55)))*S54/SUM(S$46:S$55)),0)</x:f>
        <x:v>0</x:v>
      </x:c>
      <x:c r="U54" s="20" t="n">
        <x:f>SUM(L54,N54,P54,R54,T54)</x:f>
        <x:v>45.46901889701699</x:v>
      </x:c>
      <x:c r="V54" s="20" t="n">
        <x:f>0</x:f>
        <x:v>0</x:v>
      </x:c>
      <x:c r="W54" s="20" t="n">
        <x:f>0</x:f>
        <x:v>0</x:v>
      </x:c>
      <x:c r="X54" s="20" t="n">
        <x:f>G54</x:f>
        <x:v>104.04807399345714</x:v>
      </x:c>
      <x:c r="Y54" s="20" t="n">
        <x:f>H54+U54</x:f>
        <x:v>45.46901889701699</x:v>
      </x:c>
      <x:c r="Z54" s="20" t="n">
        <x:f>G54-V54</x:f>
        <x:v>104.04807399345714</x:v>
      </x:c>
      <x:c r="AA54" s="20" t="n">
        <x:f>Y54-W54</x:f>
        <x:v>45.46901889701699</x:v>
      </x:c>
      <x:c r="AB54" s="20" t="n">
        <x:f>Z54-AA54</x:f>
        <x:v>58.57905509644015</x:v>
      </x:c>
    </x:row>
    <x:row r="55" ht="21" customHeight="1">
      <x:c r="A55" s="2" t="str">
        <x:v>Эконом/комфорт</x:v>
      </x:c>
      <x:c r="B55" s="12" t="n">
        <x:v>2030</x:v>
      </x:c>
      <x:c r="C55" s="12" t="n">
        <x:v>2035</x:v>
      </x:c>
      <x:c r="D55" s="20" t="n">
        <x:f>Z45</x:f>
        <x:v>0</x:v>
      </x:c>
      <x:c r="E55" s="20" t="n">
        <x:f>AA45</x:f>
        <x:v>0</x:v>
      </x:c>
      <x:c r="F55" s="24" t="n">
        <x:f>'Расчет'!F8*'Допущения'!G24</x:f>
        <x:v>17.486416313472677</x:v>
      </x:c>
      <x:c r="G55" s="20" t="n">
        <x:f>D55+F55</x:f>
        <x:v>17.486416313472677</x:v>
      </x:c>
      <x:c r="H55" s="20" t="n">
        <x:f>E55</x:f>
        <x:v>0</x:v>
      </x:c>
      <x:c r="I55" s="20" t="n">
        <x:f>MAX(0,G55-H55)</x:f>
        <x:v>17.486416313472677</x:v>
      </x:c>
      <x:c r="J55" s="39" t="n">
        <x:f>0</x:f>
        <x:v>0</x:v>
      </x:c>
      <x:c r="K55" s="39" t="n">
        <x:f>IF(I55-(0)&gt;0.000000001,J55,0)</x:f>
        <x:v>0</x:v>
      </x:c>
      <x:c r="L55" s="24" t="n">
        <x:f>IF(SUM(K$46:K$55)&gt;0,MIN(MAX(0,I55-(0)),MAX(0,'Расчет'!F17-(0))*K55/SUM(K$46:K$55)),0)</x:f>
        <x:v>0</x:v>
      </x:c>
      <x:c r="M55" s="20" t="n">
        <x:f>IF(I55-(L55)&gt;0.000000001,J55,0)</x:f>
        <x:v>0</x:v>
      </x:c>
      <x:c r="N55" s="24" t="n">
        <x:f>IF(SUM(M$46:M$55)&gt;0,MIN(MAX(0,I55-(L55)),MAX(0,'Расчет'!F17-(SUM(L46:L55)))*M55/SUM(M$46:M$55)),0)</x:f>
        <x:v>0</x:v>
      </x:c>
      <x:c r="O55" s="20" t="n">
        <x:f>IF(I55-(L55+N55)&gt;0.000000001,J55,0)</x:f>
        <x:v>0</x:v>
      </x:c>
      <x:c r="P55" s="24" t="n">
        <x:f>IF(SUM(O$46:O$55)&gt;0,MIN(MAX(0,I55-(L55+N55)),MAX(0,'Расчет'!F17-(SUM(L46:L55)+SUM(N46:N55)))*O55/SUM(O$46:O$55)),0)</x:f>
        <x:v>0</x:v>
      </x:c>
      <x:c r="Q55" s="20" t="n">
        <x:f>IF(I55-(L55+N55+P55)&gt;0.000000001,J55,0)</x:f>
        <x:v>0</x:v>
      </x:c>
      <x:c r="R55" s="24" t="n">
        <x:f>IF(SUM(Q$46:Q$55)&gt;0,MIN(MAX(0,I55-(L55+N55+P55)),MAX(0,'Расчет'!F17-(SUM(L46:L55)+SUM(N46:N55)+SUM(P46:P55)))*Q55/SUM(Q$46:Q$55)),0)</x:f>
        <x:v>0</x:v>
      </x:c>
      <x:c r="S55" s="20" t="n">
        <x:f>IF(I55-(L55+N55+P55+R55)&gt;0.000000001,J55,0)</x:f>
        <x:v>0</x:v>
      </x:c>
      <x:c r="T55" s="24" t="n">
        <x:f>IF(SUM(S$46:S$55)&gt;0,MIN(MAX(0,I55-(L55+N55+P55+R55)),MAX(0,'Расчет'!F17-(SUM(L46:L55)+SUM(N46:N55)+SUM(P46:P55)+SUM(R46:R55)))*S55/SUM(S$46:S$55)),0)</x:f>
        <x:v>0</x:v>
      </x:c>
      <x:c r="U55" s="20" t="n">
        <x:f>SUM(L55,N55,P55,R55,T55)</x:f>
        <x:v>0</x:v>
      </x:c>
      <x:c r="V55" s="20" t="n">
        <x:f>0</x:f>
        <x:v>0</x:v>
      </x:c>
      <x:c r="W55" s="20" t="n">
        <x:f>0</x:f>
        <x:v>0</x:v>
      </x:c>
      <x:c r="X55" s="20" t="n">
        <x:f>G55</x:f>
        <x:v>17.486416313472677</x:v>
      </x:c>
      <x:c r="Y55" s="20" t="n">
        <x:f>H55+U55</x:f>
        <x:v>0</x:v>
      </x:c>
      <x:c r="Z55" s="20" t="n">
        <x:f>G55-V55</x:f>
        <x:v>17.486416313472677</x:v>
      </x:c>
      <x:c r="AA55" s="20" t="n">
        <x:f>Y55-W55</x:f>
        <x:v>0</x:v>
      </x:c>
      <x:c r="AB55" s="20" t="n">
        <x:f>Z55-AA55</x:f>
        <x:v>17.486416313472677</x:v>
      </x:c>
    </x:row>
    <x:row r="56" ht="21" customHeight="1">
      <x:c r="A56" s="2" t="str">
        <x:v>Бизнес</x:v>
      </x:c>
      <x:c r="B56" s="12" t="n">
        <x:v>2026</x:v>
      </x:c>
      <x:c r="C56" s="12" t="n">
        <x:v>2026</x:v>
      </x:c>
      <x:c r="D56" s="24" t="n">
        <x:f>'Данные'!C16</x:f>
        <x:v>735.18413</x:v>
      </x:c>
      <x:c r="E56" s="24" t="n">
        <x:f>'Данные'!D16</x:f>
        <x:v>501.17726000000005</x:v>
      </x:c>
      <x:c r="F56" s="24" t="n">
        <x:f>'Расчет'!B36*'Допущения'!B25</x:f>
        <x:v>0</x:v>
      </x:c>
      <x:c r="G56" s="20" t="n">
        <x:f>D56+F56</x:f>
        <x:v>735.18413</x:v>
      </x:c>
      <x:c r="H56" s="20" t="n">
        <x:f>E56</x:f>
        <x:v>501.17726000000005</x:v>
      </x:c>
      <x:c r="I56" s="20" t="n">
        <x:f>MAX(0,G56-H56)</x:f>
        <x:v>234.00686999999994</x:v>
      </x:c>
      <x:c r="J56" s="38" t="n">
        <x:f>'Допущения'!B30</x:f>
        <x:v>0.1357</x:v>
      </x:c>
      <x:c r="K56" s="39" t="n">
        <x:f>IF(I56-(0)&gt;0.000000001,J56,0)</x:f>
        <x:v>0.1357</x:v>
      </x:c>
      <x:c r="L56" s="24" t="n">
        <x:f>IF(SUM(K$56:K$65)&gt;0,MIN(MAX(0,I56-(0)),MAX(0,'Расчет'!B45-(0))*K56/SUM(K$56:K$65)),0)</x:f>
        <x:v>27.93561804328499</x:v>
      </x:c>
      <x:c r="M56" s="20" t="n">
        <x:f>IF(I56-(L56)&gt;0.000000001,J56,0)</x:f>
        <x:v>0.1357</x:v>
      </x:c>
      <x:c r="N56" s="24" t="n">
        <x:f>IF(SUM(M$56:M$65)&gt;0,MIN(MAX(0,I56-(L56)),MAX(0,'Расчет'!B45-(SUM(L56:L65)))*M56/SUM(M$56:M$65)),0)</x:f>
        <x:v>0</x:v>
      </x:c>
      <x:c r="O56" s="20" t="n">
        <x:f>IF(I56-(L56+N56)&gt;0.000000001,J56,0)</x:f>
        <x:v>0.1357</x:v>
      </x:c>
      <x:c r="P56" s="24" t="n">
        <x:f>IF(SUM(O$56:O$65)&gt;0,MIN(MAX(0,I56-(L56+N56)),MAX(0,'Расчет'!B45-(SUM(L56:L65)+SUM(N56:N65)))*O56/SUM(O$56:O$65)),0)</x:f>
        <x:v>0</x:v>
      </x:c>
      <x:c r="Q56" s="20" t="n">
        <x:f>IF(I56-(L56+N56+P56)&gt;0.000000001,J56,0)</x:f>
        <x:v>0.1357</x:v>
      </x:c>
      <x:c r="R56" s="24" t="n">
        <x:f>IF(SUM(Q$56:Q$65)&gt;0,MIN(MAX(0,I56-(L56+N56+P56)),MAX(0,'Расчет'!B45-(SUM(L56:L65)+SUM(N56:N65)+SUM(P56:P65)))*Q56/SUM(Q$56:Q$65)),0)</x:f>
        <x:v>0</x:v>
      </x:c>
      <x:c r="S56" s="20" t="n">
        <x:f>IF(I56-(L56+N56+P56+R56)&gt;0.000000001,J56,0)</x:f>
        <x:v>0.1357</x:v>
      </x:c>
      <x:c r="T56" s="24" t="n">
        <x:f>IF(SUM(S$56:S$65)&gt;0,MIN(MAX(0,I56-(L56+N56+P56+R56)),MAX(0,'Расчет'!B45-(SUM(L56:L65)+SUM(N56:N65)+SUM(P56:P65)+SUM(R56:R65)))*S56/SUM(S$56:S$65)),0)</x:f>
        <x:v>0</x:v>
      </x:c>
      <x:c r="U56" s="20" t="n">
        <x:f>SUM(L56,N56,P56,R56,T56)</x:f>
        <x:v>27.93561804328499</x:v>
      </x:c>
      <x:c r="V56" s="24" t="n">
        <x:f>G56*(1-'Допущения'!B7)</x:f>
        <x:v>588.147304</x:v>
      </x:c>
      <x:c r="W56" s="24" t="n">
        <x:f>Y56*(1-'Допущения'!B7)</x:f>
        <x:v>423.2903024346281</x:v>
      </x:c>
      <x:c r="X56" s="20" t="n">
        <x:f>G56</x:f>
        <x:v>735.18413</x:v>
      </x:c>
      <x:c r="Y56" s="20" t="n">
        <x:f>H56+U56</x:f>
        <x:v>529.112878043285</x:v>
      </x:c>
      <x:c r="Z56" s="20" t="n">
        <x:f>G56-V56</x:f>
        <x:v>147.03682600000002</x:v>
      </x:c>
      <x:c r="AA56" s="20" t="n">
        <x:f>Y56-W56</x:f>
        <x:v>105.82257560865696</x:v>
      </x:c>
      <x:c r="AB56" s="20" t="n">
        <x:f>Z56-AA56</x:f>
        <x:v>41.21425039134306</x:v>
      </x:c>
    </x:row>
    <x:row r="57" ht="21" customHeight="1">
      <x:c r="A57" s="2" t="str">
        <x:v>Бизнес</x:v>
      </x:c>
      <x:c r="B57" s="12" t="n">
        <x:v>2026</x:v>
      </x:c>
      <x:c r="C57" s="12" t="n">
        <x:v>2027</x:v>
      </x:c>
      <x:c r="D57" s="24" t="n">
        <x:f>'Данные'!C17</x:f>
        <x:v>2297.0414400000004</x:v>
      </x:c>
      <x:c r="E57" s="24" t="n">
        <x:f>'Данные'!D17</x:f>
        <x:v>1413.69713</x:v>
      </x:c>
      <x:c r="F57" s="24" t="n">
        <x:f>'Расчет'!B36*'Допущения'!C25</x:f>
        <x:v>3.679193850576533</x:v>
      </x:c>
      <x:c r="G57" s="20" t="n">
        <x:f>D57+F57</x:f>
        <x:v>2300.720633850577</x:v>
      </x:c>
      <x:c r="H57" s="20" t="n">
        <x:f>E57</x:f>
        <x:v>1413.69713</x:v>
      </x:c>
      <x:c r="I57" s="20" t="n">
        <x:f>MAX(0,G57-H57)</x:f>
        <x:v>887.0235038505771</x:v>
      </x:c>
      <x:c r="J57" s="38" t="n">
        <x:f>'Допущения'!C30</x:f>
        <x:v>0.3612</x:v>
      </x:c>
      <x:c r="K57" s="39" t="n">
        <x:f>IF(I57-(0)&gt;0.000000001,J57,0)</x:f>
        <x:v>0.3612</x:v>
      </x:c>
      <x:c r="L57" s="24" t="n">
        <x:f>IF(SUM(K$56:K$65)&gt;0,MIN(MAX(0,I57-(0)),MAX(0,'Расчет'!B45-(0))*K57/SUM(K$56:K$65)),0)</x:f>
        <x:v>74.35773940482343</x:v>
      </x:c>
      <x:c r="M57" s="20" t="n">
        <x:f>IF(I57-(L57)&gt;0.000000001,J57,0)</x:f>
        <x:v>0.3612</x:v>
      </x:c>
      <x:c r="N57" s="24" t="n">
        <x:f>IF(SUM(M$56:M$65)&gt;0,MIN(MAX(0,I57-(L57)),MAX(0,'Расчет'!B45-(SUM(L56:L65)))*M57/SUM(M$56:M$65)),0)</x:f>
        <x:v>0</x:v>
      </x:c>
      <x:c r="O57" s="20" t="n">
        <x:f>IF(I57-(L57+N57)&gt;0.000000001,J57,0)</x:f>
        <x:v>0.3612</x:v>
      </x:c>
      <x:c r="P57" s="24" t="n">
        <x:f>IF(SUM(O$56:O$65)&gt;0,MIN(MAX(0,I57-(L57+N57)),MAX(0,'Расчет'!B45-(SUM(L56:L65)+SUM(N56:N65)))*O57/SUM(O$56:O$65)),0)</x:f>
        <x:v>0</x:v>
      </x:c>
      <x:c r="Q57" s="20" t="n">
        <x:f>IF(I57-(L57+N57+P57)&gt;0.000000001,J57,0)</x:f>
        <x:v>0.3612</x:v>
      </x:c>
      <x:c r="R57" s="24" t="n">
        <x:f>IF(SUM(Q$56:Q$65)&gt;0,MIN(MAX(0,I57-(L57+N57+P57)),MAX(0,'Расчет'!B45-(SUM(L56:L65)+SUM(N56:N65)+SUM(P56:P65)))*Q57/SUM(Q$56:Q$65)),0)</x:f>
        <x:v>0</x:v>
      </x:c>
      <x:c r="S57" s="20" t="n">
        <x:f>IF(I57-(L57+N57+P57+R57)&gt;0.000000001,J57,0)</x:f>
        <x:v>0.3612</x:v>
      </x:c>
      <x:c r="T57" s="24" t="n">
        <x:f>IF(SUM(S$56:S$65)&gt;0,MIN(MAX(0,I57-(L57+N57+P57+R57)),MAX(0,'Расчет'!B45-(SUM(L56:L65)+SUM(N56:N65)+SUM(P56:P65)+SUM(R56:R65)))*S57/SUM(S$56:S$65)),0)</x:f>
        <x:v>0</x:v>
      </x:c>
      <x:c r="U57" s="20" t="n">
        <x:f>SUM(L57,N57,P57,R57,T57)</x:f>
        <x:v>74.35773940482343</x:v>
      </x:c>
      <x:c r="V57" s="20" t="n">
        <x:f>0</x:f>
        <x:v>0</x:v>
      </x:c>
      <x:c r="W57" s="20" t="n">
        <x:f>0</x:f>
        <x:v>0</x:v>
      </x:c>
      <x:c r="X57" s="20" t="n">
        <x:f>G57</x:f>
        <x:v>2300.720633850577</x:v>
      </x:c>
      <x:c r="Y57" s="20" t="n">
        <x:f>H57+U57</x:f>
        <x:v>1488.0548694048234</x:v>
      </x:c>
      <x:c r="Z57" s="20" t="n">
        <x:f>G57-V57</x:f>
        <x:v>2300.720633850577</x:v>
      </x:c>
      <x:c r="AA57" s="20" t="n">
        <x:f>Y57-W57</x:f>
        <x:v>1488.0548694048234</x:v>
      </x:c>
      <x:c r="AB57" s="20" t="n">
        <x:f>Z57-AA57</x:f>
        <x:v>812.6657644457537</x:v>
      </x:c>
    </x:row>
    <x:row r="58" ht="21" customHeight="1">
      <x:c r="A58" s="2" t="str">
        <x:v>Бизнес</x:v>
      </x:c>
      <x:c r="B58" s="12" t="n">
        <x:v>2026</x:v>
      </x:c>
      <x:c r="C58" s="12" t="n">
        <x:v>2028</x:v>
      </x:c>
      <x:c r="D58" s="24" t="n">
        <x:f>'Данные'!C18</x:f>
        <x:v>1488.5328499999998</x:v>
      </x:c>
      <x:c r="E58" s="24" t="n">
        <x:f>'Данные'!D18</x:f>
        <x:v>587.30182</x:v>
      </x:c>
      <x:c r="F58" s="24" t="n">
        <x:f>'Расчет'!B36*'Допущения'!D25</x:f>
        <x:v>21.818079477326943</x:v>
      </x:c>
      <x:c r="G58" s="20" t="n">
        <x:f>D58+F58</x:f>
        <x:v>1510.3509294773269</x:v>
      </x:c>
      <x:c r="H58" s="20" t="n">
        <x:f>E58</x:f>
        <x:v>587.30182</x:v>
      </x:c>
      <x:c r="I58" s="20" t="n">
        <x:f>MAX(0,G58-H58)</x:f>
        <x:v>923.0491094773269</x:v>
      </x:c>
      <x:c r="J58" s="38" t="n">
        <x:f>'Допущения'!D30</x:f>
        <x:v>0.3111</x:v>
      </x:c>
      <x:c r="K58" s="39" t="n">
        <x:f>IF(I58-(0)&gt;0.000000001,J58,0)</x:f>
        <x:v>0.3111</x:v>
      </x:c>
      <x:c r="L58" s="24" t="n">
        <x:f>IF(SUM(K$56:K$65)&gt;0,MIN(MAX(0,I58-(0)),MAX(0,'Расчет'!B45-(0))*K58/SUM(K$56:K$65)),0)</x:f>
        <x:v>64.0439998029916</x:v>
      </x:c>
      <x:c r="M58" s="20" t="n">
        <x:f>IF(I58-(L58)&gt;0.000000001,J58,0)</x:f>
        <x:v>0.3111</x:v>
      </x:c>
      <x:c r="N58" s="24" t="n">
        <x:f>IF(SUM(M$56:M$65)&gt;0,MIN(MAX(0,I58-(L58)),MAX(0,'Расчет'!B45-(SUM(L56:L65)))*M58/SUM(M$56:M$65)),0)</x:f>
        <x:v>0</x:v>
      </x:c>
      <x:c r="O58" s="20" t="n">
        <x:f>IF(I58-(L58+N58)&gt;0.000000001,J58,0)</x:f>
        <x:v>0.3111</x:v>
      </x:c>
      <x:c r="P58" s="24" t="n">
        <x:f>IF(SUM(O$56:O$65)&gt;0,MIN(MAX(0,I58-(L58+N58)),MAX(0,'Расчет'!B45-(SUM(L56:L65)+SUM(N56:N65)))*O58/SUM(O$56:O$65)),0)</x:f>
        <x:v>0</x:v>
      </x:c>
      <x:c r="Q58" s="20" t="n">
        <x:f>IF(I58-(L58+N58+P58)&gt;0.000000001,J58,0)</x:f>
        <x:v>0.3111</x:v>
      </x:c>
      <x:c r="R58" s="24" t="n">
        <x:f>IF(SUM(Q$56:Q$65)&gt;0,MIN(MAX(0,I58-(L58+N58+P58)),MAX(0,'Расчет'!B45-(SUM(L56:L65)+SUM(N56:N65)+SUM(P56:P65)))*Q58/SUM(Q$56:Q$65)),0)</x:f>
        <x:v>0</x:v>
      </x:c>
      <x:c r="S58" s="20" t="n">
        <x:f>IF(I58-(L58+N58+P58+R58)&gt;0.000000001,J58,0)</x:f>
        <x:v>0.3111</x:v>
      </x:c>
      <x:c r="T58" s="24" t="n">
        <x:f>IF(SUM(S$56:S$65)&gt;0,MIN(MAX(0,I58-(L58+N58+P58+R58)),MAX(0,'Расчет'!B45-(SUM(L56:L65)+SUM(N56:N65)+SUM(P56:P65)+SUM(R56:R65)))*S58/SUM(S$56:S$65)),0)</x:f>
        <x:v>0</x:v>
      </x:c>
      <x:c r="U58" s="20" t="n">
        <x:f>SUM(L58,N58,P58,R58,T58)</x:f>
        <x:v>64.0439998029916</x:v>
      </x:c>
      <x:c r="V58" s="20" t="n">
        <x:f>0</x:f>
        <x:v>0</x:v>
      </x:c>
      <x:c r="W58" s="20" t="n">
        <x:f>0</x:f>
        <x:v>0</x:v>
      </x:c>
      <x:c r="X58" s="20" t="n">
        <x:f>G58</x:f>
        <x:v>1510.3509294773269</x:v>
      </x:c>
      <x:c r="Y58" s="20" t="n">
        <x:f>H58+U58</x:f>
        <x:v>651.3458198029916</x:v>
      </x:c>
      <x:c r="Z58" s="20" t="n">
        <x:f>G58-V58</x:f>
        <x:v>1510.3509294773269</x:v>
      </x:c>
      <x:c r="AA58" s="20" t="n">
        <x:f>Y58-W58</x:f>
        <x:v>651.3458198029916</x:v>
      </x:c>
      <x:c r="AB58" s="20" t="n">
        <x:f>Z58-AA58</x:f>
        <x:v>859.0051096743352</x:v>
      </x:c>
    </x:row>
    <x:row r="59" ht="21" customHeight="1">
      <x:c r="A59" s="2" t="str">
        <x:v>Бизнес</x:v>
      </x:c>
      <x:c r="B59" s="12" t="n">
        <x:v>2026</x:v>
      </x:c>
      <x:c r="C59" s="12" t="n">
        <x:v>2029</x:v>
      </x:c>
      <x:c r="D59" s="24" t="n">
        <x:f>'Данные'!C19</x:f>
        <x:v>1004.3920599999999</x:v>
      </x:c>
      <x:c r="E59" s="24" t="n">
        <x:f>'Данные'!D19</x:f>
        <x:v>223.50854999999999</x:v>
      </x:c>
      <x:c r="F59" s="24" t="n">
        <x:f>'Расчет'!B36*'Допущения'!E25</x:f>
        <x:v>120.34977667559166</x:v>
      </x:c>
      <x:c r="G59" s="20" t="n">
        <x:f>D59+F59</x:f>
        <x:v>1124.7418366755915</x:v>
      </x:c>
      <x:c r="H59" s="20" t="n">
        <x:f>E59</x:f>
        <x:v>223.50854999999999</x:v>
      </x:c>
      <x:c r="I59" s="20" t="n">
        <x:f>MAX(0,G59-H59)</x:f>
        <x:v>901.2332866755914</x:v>
      </x:c>
      <x:c r="J59" s="38" t="n">
        <x:f>'Допущения'!E30</x:f>
        <x:v>0.1495</x:v>
      </x:c>
      <x:c r="K59" s="39" t="n">
        <x:f>IF(I59-(0)&gt;0.000000001,J59,0)</x:f>
        <x:v>0.1495</x:v>
      </x:c>
      <x:c r="L59" s="24" t="n">
        <x:f>IF(SUM(K$56:K$65)&gt;0,MIN(MAX(0,I59-(0)),MAX(0,'Расчет'!B45-(0))*K59/SUM(K$56:K$65)),0)</x:f>
        <x:v>30.7765283527716</x:v>
      </x:c>
      <x:c r="M59" s="20" t="n">
        <x:f>IF(I59-(L59)&gt;0.000000001,J59,0)</x:f>
        <x:v>0.1495</x:v>
      </x:c>
      <x:c r="N59" s="24" t="n">
        <x:f>IF(SUM(M$56:M$65)&gt;0,MIN(MAX(0,I59-(L59)),MAX(0,'Расчет'!B45-(SUM(L56:L65)))*M59/SUM(M$56:M$65)),0)</x:f>
        <x:v>0</x:v>
      </x:c>
      <x:c r="O59" s="20" t="n">
        <x:f>IF(I59-(L59+N59)&gt;0.000000001,J59,0)</x:f>
        <x:v>0.1495</x:v>
      </x:c>
      <x:c r="P59" s="24" t="n">
        <x:f>IF(SUM(O$56:O$65)&gt;0,MIN(MAX(0,I59-(L59+N59)),MAX(0,'Расчет'!B45-(SUM(L56:L65)+SUM(N56:N65)))*O59/SUM(O$56:O$65)),0)</x:f>
        <x:v>0</x:v>
      </x:c>
      <x:c r="Q59" s="20" t="n">
        <x:f>IF(I59-(L59+N59+P59)&gt;0.000000001,J59,0)</x:f>
        <x:v>0.1495</x:v>
      </x:c>
      <x:c r="R59" s="24" t="n">
        <x:f>IF(SUM(Q$56:Q$65)&gt;0,MIN(MAX(0,I59-(L59+N59+P59)),MAX(0,'Расчет'!B45-(SUM(L56:L65)+SUM(N56:N65)+SUM(P56:P65)))*Q59/SUM(Q$56:Q$65)),0)</x:f>
        <x:v>0</x:v>
      </x:c>
      <x:c r="S59" s="20" t="n">
        <x:f>IF(I59-(L59+N59+P59+R59)&gt;0.000000001,J59,0)</x:f>
        <x:v>0.1495</x:v>
      </x:c>
      <x:c r="T59" s="24" t="n">
        <x:f>IF(SUM(S$56:S$65)&gt;0,MIN(MAX(0,I59-(L59+N59+P59+R59)),MAX(0,'Расчет'!B45-(SUM(L56:L65)+SUM(N56:N65)+SUM(P56:P65)+SUM(R56:R65)))*S59/SUM(S$56:S$65)),0)</x:f>
        <x:v>0</x:v>
      </x:c>
      <x:c r="U59" s="20" t="n">
        <x:f>SUM(L59,N59,P59,R59,T59)</x:f>
        <x:v>30.7765283527716</x:v>
      </x:c>
      <x:c r="V59" s="20" t="n">
        <x:f>0</x:f>
        <x:v>0</x:v>
      </x:c>
      <x:c r="W59" s="20" t="n">
        <x:f>0</x:f>
        <x:v>0</x:v>
      </x:c>
      <x:c r="X59" s="20" t="n">
        <x:f>G59</x:f>
        <x:v>1124.7418366755915</x:v>
      </x:c>
      <x:c r="Y59" s="20" t="n">
        <x:f>H59+U59</x:f>
        <x:v>254.2850783527716</x:v>
      </x:c>
      <x:c r="Z59" s="20" t="n">
        <x:f>G59-V59</x:f>
        <x:v>1124.7418366755915</x:v>
      </x:c>
      <x:c r="AA59" s="20" t="n">
        <x:f>Y59-W59</x:f>
        <x:v>254.2850783527716</x:v>
      </x:c>
      <x:c r="AB59" s="20" t="n">
        <x:f>Z59-AA59</x:f>
        <x:v>870.4567583228198</x:v>
      </x:c>
    </x:row>
    <x:row r="60" ht="21" customHeight="1">
      <x:c r="A60" s="2" t="str">
        <x:v>Бизнес</x:v>
      </x:c>
      <x:c r="B60" s="12" t="n">
        <x:v>2026</x:v>
      </x:c>
      <x:c r="C60" s="12" t="n">
        <x:v>2030</x:v>
      </x:c>
      <x:c r="D60" s="24" t="n">
        <x:f>'Данные'!C20</x:f>
        <x:v>234.38279999999997</x:v>
      </x:c>
      <x:c r="E60" s="24" t="n">
        <x:f>'Данные'!D20</x:f>
        <x:v>1.758</x:v>
      </x:c>
      <x:c r="F60" s="24" t="n">
        <x:f>'Расчет'!B36*'Допущения'!F25</x:f>
        <x:v>204.06907467188515</x:v>
      </x:c>
      <x:c r="G60" s="20" t="n">
        <x:f>D60+F60</x:f>
        <x:v>438.4518746718851</x:v>
      </x:c>
      <x:c r="H60" s="20" t="n">
        <x:f>E60</x:f>
        <x:v>1.758</x:v>
      </x:c>
      <x:c r="I60" s="20" t="n">
        <x:f>MAX(0,G60-H60)</x:f>
        <x:v>436.6938746718851</x:v>
      </x:c>
      <x:c r="J60" s="38" t="n">
        <x:f>'Допущения'!F30</x:f>
        <x:v>0.0425</x:v>
      </x:c>
      <x:c r="K60" s="39" t="n">
        <x:f>IF(I60-(0)&gt;0.000000001,J60,0)</x:f>
        <x:v>0.0425</x:v>
      </x:c>
      <x:c r="L60" s="24" t="n">
        <x:f>IF(SUM(K$56:K$65)&gt;0,MIN(MAX(0,I60-(0)),MAX(0,'Расчет'!B45-(0))*K60/SUM(K$56:K$65)),0)</x:f>
        <x:v>8.749180300955137</x:v>
      </x:c>
      <x:c r="M60" s="20" t="n">
        <x:f>IF(I60-(L60)&gt;0.000000001,J60,0)</x:f>
        <x:v>0.0425</x:v>
      </x:c>
      <x:c r="N60" s="24" t="n">
        <x:f>IF(SUM(M$56:M$65)&gt;0,MIN(MAX(0,I60-(L60)),MAX(0,'Расчет'!B45-(SUM(L56:L65)))*M60/SUM(M$56:M$65)),0)</x:f>
        <x:v>0</x:v>
      </x:c>
      <x:c r="O60" s="20" t="n">
        <x:f>IF(I60-(L60+N60)&gt;0.000000001,J60,0)</x:f>
        <x:v>0.0425</x:v>
      </x:c>
      <x:c r="P60" s="24" t="n">
        <x:f>IF(SUM(O$56:O$65)&gt;0,MIN(MAX(0,I60-(L60+N60)),MAX(0,'Расчет'!B45-(SUM(L56:L65)+SUM(N56:N65)))*O60/SUM(O$56:O$65)),0)</x:f>
        <x:v>0</x:v>
      </x:c>
      <x:c r="Q60" s="20" t="n">
        <x:f>IF(I60-(L60+N60+P60)&gt;0.000000001,J60,0)</x:f>
        <x:v>0.0425</x:v>
      </x:c>
      <x:c r="R60" s="24" t="n">
        <x:f>IF(SUM(Q$56:Q$65)&gt;0,MIN(MAX(0,I60-(L60+N60+P60)),MAX(0,'Расчет'!B45-(SUM(L56:L65)+SUM(N56:N65)+SUM(P56:P65)))*Q60/SUM(Q$56:Q$65)),0)</x:f>
        <x:v>0</x:v>
      </x:c>
      <x:c r="S60" s="20" t="n">
        <x:f>IF(I60-(L60+N60+P60+R60)&gt;0.000000001,J60,0)</x:f>
        <x:v>0.0425</x:v>
      </x:c>
      <x:c r="T60" s="24" t="n">
        <x:f>IF(SUM(S$56:S$65)&gt;0,MIN(MAX(0,I60-(L60+N60+P60+R60)),MAX(0,'Расчет'!B45-(SUM(L56:L65)+SUM(N56:N65)+SUM(P56:P65)+SUM(R56:R65)))*S60/SUM(S$56:S$65)),0)</x:f>
        <x:v>0</x:v>
      </x:c>
      <x:c r="U60" s="20" t="n">
        <x:f>SUM(L60,N60,P60,R60,T60)</x:f>
        <x:v>8.749180300955137</x:v>
      </x:c>
      <x:c r="V60" s="20" t="n">
        <x:f>0</x:f>
        <x:v>0</x:v>
      </x:c>
      <x:c r="W60" s="20" t="n">
        <x:f>0</x:f>
        <x:v>0</x:v>
      </x:c>
      <x:c r="X60" s="20" t="n">
        <x:f>G60</x:f>
        <x:v>438.4518746718851</x:v>
      </x:c>
      <x:c r="Y60" s="20" t="n">
        <x:f>H60+U60</x:f>
        <x:v>10.507180300955138</x:v>
      </x:c>
      <x:c r="Z60" s="20" t="n">
        <x:f>G60-V60</x:f>
        <x:v>438.4518746718851</x:v>
      </x:c>
      <x:c r="AA60" s="20" t="n">
        <x:f>Y60-W60</x:f>
        <x:v>10.507180300955138</x:v>
      </x:c>
      <x:c r="AB60" s="20" t="n">
        <x:f>Z60-AA60</x:f>
        <x:v>427.94469437092994</x:v>
      </x:c>
    </x:row>
    <x:row r="61" ht="21" customHeight="1">
      <x:c r="A61" s="2" t="str">
        <x:v>Бизнес</x:v>
      </x:c>
      <x:c r="B61" s="12" t="n">
        <x:v>2026</x:v>
      </x:c>
      <x:c r="C61" s="12" t="n">
        <x:v>2031</x:v>
      </x:c>
      <x:c r="D61" s="24" t="n">
        <x:f>'Данные'!C21</x:f>
        <x:v>30.267799999999998</x:v>
      </x:c>
      <x:c r="E61" s="24" t="n">
        <x:f>'Данные'!D21</x:f>
        <x:v>0</x:v>
      </x:c>
      <x:c r="F61" s="24" t="n">
        <x:f>'Расчет'!B36*'Допущения'!G25</x:f>
        <x:v>15.281531380687</x:v>
      </x:c>
      <x:c r="G61" s="20" t="n">
        <x:f>D61+F61</x:f>
        <x:v>45.54933138068699</x:v>
      </x:c>
      <x:c r="H61" s="20" t="n">
        <x:f>E61</x:f>
        <x:v>0</x:v>
      </x:c>
      <x:c r="I61" s="20" t="n">
        <x:f>MAX(0,G61-H61)</x:f>
        <x:v>45.54933138068699</x:v>
      </x:c>
      <x:c r="J61" s="39" t="n">
        <x:f>0</x:f>
        <x:v>0</x:v>
      </x:c>
      <x:c r="K61" s="39" t="n">
        <x:f>IF(I61-(0)&gt;0.000000001,J61,0)</x:f>
        <x:v>0</x:v>
      </x:c>
      <x:c r="L61" s="24" t="n">
        <x:f>IF(SUM(K$56:K$65)&gt;0,MIN(MAX(0,I61-(0)),MAX(0,'Расчет'!B45-(0))*K61/SUM(K$56:K$65)),0)</x:f>
        <x:v>0</x:v>
      </x:c>
      <x:c r="M61" s="20" t="n">
        <x:f>IF(I61-(L61)&gt;0.000000001,J61,0)</x:f>
        <x:v>0</x:v>
      </x:c>
      <x:c r="N61" s="24" t="n">
        <x:f>IF(SUM(M$56:M$65)&gt;0,MIN(MAX(0,I61-(L61)),MAX(0,'Расчет'!B45-(SUM(L56:L65)))*M61/SUM(M$56:M$65)),0)</x:f>
        <x:v>0</x:v>
      </x:c>
      <x:c r="O61" s="20" t="n">
        <x:f>IF(I61-(L61+N61)&gt;0.000000001,J61,0)</x:f>
        <x:v>0</x:v>
      </x:c>
      <x:c r="P61" s="24" t="n">
        <x:f>IF(SUM(O$56:O$65)&gt;0,MIN(MAX(0,I61-(L61+N61)),MAX(0,'Расчет'!B45-(SUM(L56:L65)+SUM(N56:N65)))*O61/SUM(O$56:O$65)),0)</x:f>
        <x:v>0</x:v>
      </x:c>
      <x:c r="Q61" s="20" t="n">
        <x:f>IF(I61-(L61+N61+P61)&gt;0.000000001,J61,0)</x:f>
        <x:v>0</x:v>
      </x:c>
      <x:c r="R61" s="24" t="n">
        <x:f>IF(SUM(Q$56:Q$65)&gt;0,MIN(MAX(0,I61-(L61+N61+P61)),MAX(0,'Расчет'!B45-(SUM(L56:L65)+SUM(N56:N65)+SUM(P56:P65)))*Q61/SUM(Q$56:Q$65)),0)</x:f>
        <x:v>0</x:v>
      </x:c>
      <x:c r="S61" s="20" t="n">
        <x:f>IF(I61-(L61+N61+P61+R61)&gt;0.000000001,J61,0)</x:f>
        <x:v>0</x:v>
      </x:c>
      <x:c r="T61" s="24" t="n">
        <x:f>IF(SUM(S$56:S$65)&gt;0,MIN(MAX(0,I61-(L61+N61+P61+R61)),MAX(0,'Расчет'!B45-(SUM(L56:L65)+SUM(N56:N65)+SUM(P56:P65)+SUM(R56:R65)))*S61/SUM(S$56:S$65)),0)</x:f>
        <x:v>0</x:v>
      </x:c>
      <x:c r="U61" s="20" t="n">
        <x:f>SUM(L61,N61,P61,R61,T61)</x:f>
        <x:v>0</x:v>
      </x:c>
      <x:c r="V61" s="20" t="n">
        <x:f>0</x:f>
        <x:v>0</x:v>
      </x:c>
      <x:c r="W61" s="20" t="n">
        <x:f>0</x:f>
        <x:v>0</x:v>
      </x:c>
      <x:c r="X61" s="20" t="n">
        <x:f>G61</x:f>
        <x:v>45.54933138068699</x:v>
      </x:c>
      <x:c r="Y61" s="20" t="n">
        <x:f>H61+U61</x:f>
        <x:v>0</x:v>
      </x:c>
      <x:c r="Z61" s="20" t="n">
        <x:f>G61-V61</x:f>
        <x:v>45.54933138068699</x:v>
      </x:c>
      <x:c r="AA61" s="20" t="n">
        <x:f>Y61-W61</x:f>
        <x:v>0</x:v>
      </x:c>
      <x:c r="AB61" s="20" t="n">
        <x:f>Z61-AA61</x:f>
        <x:v>45.54933138068699</x:v>
      </x:c>
    </x:row>
    <x:row r="62" ht="21" customHeight="1">
      <x:c r="A62" s="2" t="str">
        <x:v>Бизнес</x:v>
      </x:c>
      <x:c r="B62" s="12" t="n">
        <x:v>2026</x:v>
      </x:c>
      <x:c r="C62" s="12" t="n">
        <x:v>2032</x:v>
      </x:c>
      <x:c r="D62" s="24" t="n">
        <x:f>'Данные'!C22</x:f>
        <x:v>0</x:v>
      </x:c>
      <x:c r="E62" s="24" t="n">
        <x:f>'Данные'!D22</x:f>
        <x:v>0</x:v>
      </x:c>
      <x:c r="F62" s="20" t="n">
        <x:f>0</x:f>
        <x:v>0</x:v>
      </x:c>
      <x:c r="G62" s="20" t="n">
        <x:f>D62+F62</x:f>
        <x:v>0</x:v>
      </x:c>
      <x:c r="H62" s="20" t="n">
        <x:f>E62</x:f>
        <x:v>0</x:v>
      </x:c>
      <x:c r="I62" s="20" t="n">
        <x:f>MAX(0,G62-H62)</x:f>
        <x:v>0</x:v>
      </x:c>
      <x:c r="J62" s="39" t="n">
        <x:f>0</x:f>
        <x:v>0</x:v>
      </x:c>
      <x:c r="K62" s="39" t="n">
        <x:f>IF(I62-(0)&gt;0.000000001,J62,0)</x:f>
        <x:v>0</x:v>
      </x:c>
      <x:c r="L62" s="24" t="n">
        <x:f>IF(SUM(K$56:K$65)&gt;0,MIN(MAX(0,I62-(0)),MAX(0,'Расчет'!B45-(0))*K62/SUM(K$56:K$65)),0)</x:f>
        <x:v>0</x:v>
      </x:c>
      <x:c r="M62" s="20" t="n">
        <x:f>IF(I62-(L62)&gt;0.000000001,J62,0)</x:f>
        <x:v>0</x:v>
      </x:c>
      <x:c r="N62" s="24" t="n">
        <x:f>IF(SUM(M$56:M$65)&gt;0,MIN(MAX(0,I62-(L62)),MAX(0,'Расчет'!B45-(SUM(L56:L65)))*M62/SUM(M$56:M$65)),0)</x:f>
        <x:v>0</x:v>
      </x:c>
      <x:c r="O62" s="20" t="n">
        <x:f>IF(I62-(L62+N62)&gt;0.000000001,J62,0)</x:f>
        <x:v>0</x:v>
      </x:c>
      <x:c r="P62" s="24" t="n">
        <x:f>IF(SUM(O$56:O$65)&gt;0,MIN(MAX(0,I62-(L62+N62)),MAX(0,'Расчет'!B45-(SUM(L56:L65)+SUM(N56:N65)))*O62/SUM(O$56:O$65)),0)</x:f>
        <x:v>0</x:v>
      </x:c>
      <x:c r="Q62" s="20" t="n">
        <x:f>IF(I62-(L62+N62+P62)&gt;0.000000001,J62,0)</x:f>
        <x:v>0</x:v>
      </x:c>
      <x:c r="R62" s="24" t="n">
        <x:f>IF(SUM(Q$56:Q$65)&gt;0,MIN(MAX(0,I62-(L62+N62+P62)),MAX(0,'Расчет'!B45-(SUM(L56:L65)+SUM(N56:N65)+SUM(P56:P65)))*Q62/SUM(Q$56:Q$65)),0)</x:f>
        <x:v>0</x:v>
      </x:c>
      <x:c r="S62" s="20" t="n">
        <x:f>IF(I62-(L62+N62+P62+R62)&gt;0.000000001,J62,0)</x:f>
        <x:v>0</x:v>
      </x:c>
      <x:c r="T62" s="24" t="n">
        <x:f>IF(SUM(S$56:S$65)&gt;0,MIN(MAX(0,I62-(L62+N62+P62+R62)),MAX(0,'Расчет'!B45-(SUM(L56:L65)+SUM(N56:N65)+SUM(P56:P65)+SUM(R56:R65)))*S62/SUM(S$56:S$65)),0)</x:f>
        <x:v>0</x:v>
      </x:c>
      <x:c r="U62" s="20" t="n">
        <x:f>SUM(L62,N62,P62,R62,T62)</x:f>
        <x:v>0</x:v>
      </x:c>
      <x:c r="V62" s="20" t="n">
        <x:f>0</x:f>
        <x:v>0</x:v>
      </x:c>
      <x:c r="W62" s="20" t="n">
        <x:f>0</x:f>
        <x:v>0</x:v>
      </x:c>
      <x:c r="X62" s="20" t="n">
        <x:f>G62</x:f>
        <x:v>0</x:v>
      </x:c>
      <x:c r="Y62" s="20" t="n">
        <x:f>H62+U62</x:f>
        <x:v>0</x:v>
      </x:c>
      <x:c r="Z62" s="20" t="n">
        <x:f>G62-V62</x:f>
        <x:v>0</x:v>
      </x:c>
      <x:c r="AA62" s="20" t="n">
        <x:f>Y62-W62</x:f>
        <x:v>0</x:v>
      </x:c>
      <x:c r="AB62" s="20" t="n">
        <x:f>Z62-AA62</x:f>
        <x:v>0</x:v>
      </x:c>
    </x:row>
    <x:row r="63" ht="21" customHeight="1">
      <x:c r="A63" s="2" t="str">
        <x:v>Бизнес</x:v>
      </x:c>
      <x:c r="B63" s="12" t="n">
        <x:v>2026</x:v>
      </x:c>
      <x:c r="C63" s="12" t="n">
        <x:v>2033</x:v>
      </x:c>
      <x:c r="D63" s="24" t="n">
        <x:f>'Данные'!C23</x:f>
        <x:v>0</x:v>
      </x:c>
      <x:c r="E63" s="24" t="n">
        <x:f>'Данные'!D23</x:f>
        <x:v>0</x:v>
      </x:c>
      <x:c r="F63" s="20" t="n">
        <x:f>0</x:f>
        <x:v>0</x:v>
      </x:c>
      <x:c r="G63" s="20" t="n">
        <x:f>D63+F63</x:f>
        <x:v>0</x:v>
      </x:c>
      <x:c r="H63" s="20" t="n">
        <x:f>E63</x:f>
        <x:v>0</x:v>
      </x:c>
      <x:c r="I63" s="20" t="n">
        <x:f>MAX(0,G63-H63)</x:f>
        <x:v>0</x:v>
      </x:c>
      <x:c r="J63" s="39" t="n">
        <x:f>0</x:f>
        <x:v>0</x:v>
      </x:c>
      <x:c r="K63" s="39" t="n">
        <x:f>IF(I63-(0)&gt;0.000000001,J63,0)</x:f>
        <x:v>0</x:v>
      </x:c>
      <x:c r="L63" s="24" t="n">
        <x:f>IF(SUM(K$56:K$65)&gt;0,MIN(MAX(0,I63-(0)),MAX(0,'Расчет'!B45-(0))*K63/SUM(K$56:K$65)),0)</x:f>
        <x:v>0</x:v>
      </x:c>
      <x:c r="M63" s="20" t="n">
        <x:f>IF(I63-(L63)&gt;0.000000001,J63,0)</x:f>
        <x:v>0</x:v>
      </x:c>
      <x:c r="N63" s="24" t="n">
        <x:f>IF(SUM(M$56:M$65)&gt;0,MIN(MAX(0,I63-(L63)),MAX(0,'Расчет'!B45-(SUM(L56:L65)))*M63/SUM(M$56:M$65)),0)</x:f>
        <x:v>0</x:v>
      </x:c>
      <x:c r="O63" s="20" t="n">
        <x:f>IF(I63-(L63+N63)&gt;0.000000001,J63,0)</x:f>
        <x:v>0</x:v>
      </x:c>
      <x:c r="P63" s="24" t="n">
        <x:f>IF(SUM(O$56:O$65)&gt;0,MIN(MAX(0,I63-(L63+N63)),MAX(0,'Расчет'!B45-(SUM(L56:L65)+SUM(N56:N65)))*O63/SUM(O$56:O$65)),0)</x:f>
        <x:v>0</x:v>
      </x:c>
      <x:c r="Q63" s="20" t="n">
        <x:f>IF(I63-(L63+N63+P63)&gt;0.000000001,J63,0)</x:f>
        <x:v>0</x:v>
      </x:c>
      <x:c r="R63" s="24" t="n">
        <x:f>IF(SUM(Q$56:Q$65)&gt;0,MIN(MAX(0,I63-(L63+N63+P63)),MAX(0,'Расчет'!B45-(SUM(L56:L65)+SUM(N56:N65)+SUM(P56:P65)))*Q63/SUM(Q$56:Q$65)),0)</x:f>
        <x:v>0</x:v>
      </x:c>
      <x:c r="S63" s="20" t="n">
        <x:f>IF(I63-(L63+N63+P63+R63)&gt;0.000000001,J63,0)</x:f>
        <x:v>0</x:v>
      </x:c>
      <x:c r="T63" s="24" t="n">
        <x:f>IF(SUM(S$56:S$65)&gt;0,MIN(MAX(0,I63-(L63+N63+P63+R63)),MAX(0,'Расчет'!B45-(SUM(L56:L65)+SUM(N56:N65)+SUM(P56:P65)+SUM(R56:R65)))*S63/SUM(S$56:S$65)),0)</x:f>
        <x:v>0</x:v>
      </x:c>
      <x:c r="U63" s="20" t="n">
        <x:f>SUM(L63,N63,P63,R63,T63)</x:f>
        <x:v>0</x:v>
      </x:c>
      <x:c r="V63" s="20" t="n">
        <x:f>0</x:f>
        <x:v>0</x:v>
      </x:c>
      <x:c r="W63" s="20" t="n">
        <x:f>0</x:f>
        <x:v>0</x:v>
      </x:c>
      <x:c r="X63" s="20" t="n">
        <x:f>G63</x:f>
        <x:v>0</x:v>
      </x:c>
      <x:c r="Y63" s="20" t="n">
        <x:f>H63+U63</x:f>
        <x:v>0</x:v>
      </x:c>
      <x:c r="Z63" s="20" t="n">
        <x:f>G63-V63</x:f>
        <x:v>0</x:v>
      </x:c>
      <x:c r="AA63" s="20" t="n">
        <x:f>Y63-W63</x:f>
        <x:v>0</x:v>
      </x:c>
      <x:c r="AB63" s="20" t="n">
        <x:f>Z63-AA63</x:f>
        <x:v>0</x:v>
      </x:c>
    </x:row>
    <x:row r="64" ht="21" customHeight="1">
      <x:c r="A64" s="2" t="str">
        <x:v>Бизнес</x:v>
      </x:c>
      <x:c r="B64" s="12" t="n">
        <x:v>2026</x:v>
      </x:c>
      <x:c r="C64" s="12" t="n">
        <x:v>2034</x:v>
      </x:c>
      <x:c r="D64" s="24" t="n">
        <x:f>'Данные'!C24</x:f>
        <x:v>0</x:v>
      </x:c>
      <x:c r="E64" s="24" t="n">
        <x:f>'Данные'!D24</x:f>
        <x:v>0</x:v>
      </x:c>
      <x:c r="F64" s="20" t="n">
        <x:f>0</x:f>
        <x:v>0</x:v>
      </x:c>
      <x:c r="G64" s="20" t="n">
        <x:f>D64+F64</x:f>
        <x:v>0</x:v>
      </x:c>
      <x:c r="H64" s="20" t="n">
        <x:f>E64</x:f>
        <x:v>0</x:v>
      </x:c>
      <x:c r="I64" s="20" t="n">
        <x:f>MAX(0,G64-H64)</x:f>
        <x:v>0</x:v>
      </x:c>
      <x:c r="J64" s="39" t="n">
        <x:f>0</x:f>
        <x:v>0</x:v>
      </x:c>
      <x:c r="K64" s="39" t="n">
        <x:f>IF(I64-(0)&gt;0.000000001,J64,0)</x:f>
        <x:v>0</x:v>
      </x:c>
      <x:c r="L64" s="24" t="n">
        <x:f>IF(SUM(K$56:K$65)&gt;0,MIN(MAX(0,I64-(0)),MAX(0,'Расчет'!B45-(0))*K64/SUM(K$56:K$65)),0)</x:f>
        <x:v>0</x:v>
      </x:c>
      <x:c r="M64" s="20" t="n">
        <x:f>IF(I64-(L64)&gt;0.000000001,J64,0)</x:f>
        <x:v>0</x:v>
      </x:c>
      <x:c r="N64" s="24" t="n">
        <x:f>IF(SUM(M$56:M$65)&gt;0,MIN(MAX(0,I64-(L64)),MAX(0,'Расчет'!B45-(SUM(L56:L65)))*M64/SUM(M$56:M$65)),0)</x:f>
        <x:v>0</x:v>
      </x:c>
      <x:c r="O64" s="20" t="n">
        <x:f>IF(I64-(L64+N64)&gt;0.000000001,J64,0)</x:f>
        <x:v>0</x:v>
      </x:c>
      <x:c r="P64" s="24" t="n">
        <x:f>IF(SUM(O$56:O$65)&gt;0,MIN(MAX(0,I64-(L64+N64)),MAX(0,'Расчет'!B45-(SUM(L56:L65)+SUM(N56:N65)))*O64/SUM(O$56:O$65)),0)</x:f>
        <x:v>0</x:v>
      </x:c>
      <x:c r="Q64" s="20" t="n">
        <x:f>IF(I64-(L64+N64+P64)&gt;0.000000001,J64,0)</x:f>
        <x:v>0</x:v>
      </x:c>
      <x:c r="R64" s="24" t="n">
        <x:f>IF(SUM(Q$56:Q$65)&gt;0,MIN(MAX(0,I64-(L64+N64+P64)),MAX(0,'Расчет'!B45-(SUM(L56:L65)+SUM(N56:N65)+SUM(P56:P65)))*Q64/SUM(Q$56:Q$65)),0)</x:f>
        <x:v>0</x:v>
      </x:c>
      <x:c r="S64" s="20" t="n">
        <x:f>IF(I64-(L64+N64+P64+R64)&gt;0.000000001,J64,0)</x:f>
        <x:v>0</x:v>
      </x:c>
      <x:c r="T64" s="24" t="n">
        <x:f>IF(SUM(S$56:S$65)&gt;0,MIN(MAX(0,I64-(L64+N64+P64+R64)),MAX(0,'Расчет'!B45-(SUM(L56:L65)+SUM(N56:N65)+SUM(P56:P65)+SUM(R56:R65)))*S64/SUM(S$56:S$65)),0)</x:f>
        <x:v>0</x:v>
      </x:c>
      <x:c r="U64" s="20" t="n">
        <x:f>SUM(L64,N64,P64,R64,T64)</x:f>
        <x:v>0</x:v>
      </x:c>
      <x:c r="V64" s="20" t="n">
        <x:f>0</x:f>
        <x:v>0</x:v>
      </x:c>
      <x:c r="W64" s="20" t="n">
        <x:f>0</x:f>
        <x:v>0</x:v>
      </x:c>
      <x:c r="X64" s="20" t="n">
        <x:f>G64</x:f>
        <x:v>0</x:v>
      </x:c>
      <x:c r="Y64" s="20" t="n">
        <x:f>H64+U64</x:f>
        <x:v>0</x:v>
      </x:c>
      <x:c r="Z64" s="20" t="n">
        <x:f>G64-V64</x:f>
        <x:v>0</x:v>
      </x:c>
      <x:c r="AA64" s="20" t="n">
        <x:f>Y64-W64</x:f>
        <x:v>0</x:v>
      </x:c>
      <x:c r="AB64" s="20" t="n">
        <x:f>Z64-AA64</x:f>
        <x:v>0</x:v>
      </x:c>
    </x:row>
    <x:row r="65" ht="21" customHeight="1">
      <x:c r="A65" s="2" t="str">
        <x:v>Бизнес</x:v>
      </x:c>
      <x:c r="B65" s="12" t="n">
        <x:v>2026</x:v>
      </x:c>
      <x:c r="C65" s="12" t="n">
        <x:v>2035</x:v>
      </x:c>
      <x:c r="D65" s="24" t="n">
        <x:f>'Данные'!C25</x:f>
        <x:v>0</x:v>
      </x:c>
      <x:c r="E65" s="24" t="n">
        <x:f>'Данные'!D25</x:f>
        <x:v>0</x:v>
      </x:c>
      <x:c r="F65" s="20" t="n">
        <x:f>0</x:f>
        <x:v>0</x:v>
      </x:c>
      <x:c r="G65" s="20" t="n">
        <x:f>D65+F65</x:f>
        <x:v>0</x:v>
      </x:c>
      <x:c r="H65" s="20" t="n">
        <x:f>E65</x:f>
        <x:v>0</x:v>
      </x:c>
      <x:c r="I65" s="20" t="n">
        <x:f>MAX(0,G65-H65)</x:f>
        <x:v>0</x:v>
      </x:c>
      <x:c r="J65" s="39" t="n">
        <x:f>0</x:f>
        <x:v>0</x:v>
      </x:c>
      <x:c r="K65" s="39" t="n">
        <x:f>IF(I65-(0)&gt;0.000000001,J65,0)</x:f>
        <x:v>0</x:v>
      </x:c>
      <x:c r="L65" s="24" t="n">
        <x:f>IF(SUM(K$56:K$65)&gt;0,MIN(MAX(0,I65-(0)),MAX(0,'Расчет'!B45-(0))*K65/SUM(K$56:K$65)),0)</x:f>
        <x:v>0</x:v>
      </x:c>
      <x:c r="M65" s="20" t="n">
        <x:f>IF(I65-(L65)&gt;0.000000001,J65,0)</x:f>
        <x:v>0</x:v>
      </x:c>
      <x:c r="N65" s="24" t="n">
        <x:f>IF(SUM(M$56:M$65)&gt;0,MIN(MAX(0,I65-(L65)),MAX(0,'Расчет'!B45-(SUM(L56:L65)))*M65/SUM(M$56:M$65)),0)</x:f>
        <x:v>0</x:v>
      </x:c>
      <x:c r="O65" s="20" t="n">
        <x:f>IF(I65-(L65+N65)&gt;0.000000001,J65,0)</x:f>
        <x:v>0</x:v>
      </x:c>
      <x:c r="P65" s="24" t="n">
        <x:f>IF(SUM(O$56:O$65)&gt;0,MIN(MAX(0,I65-(L65+N65)),MAX(0,'Расчет'!B45-(SUM(L56:L65)+SUM(N56:N65)))*O65/SUM(O$56:O$65)),0)</x:f>
        <x:v>0</x:v>
      </x:c>
      <x:c r="Q65" s="20" t="n">
        <x:f>IF(I65-(L65+N65+P65)&gt;0.000000001,J65,0)</x:f>
        <x:v>0</x:v>
      </x:c>
      <x:c r="R65" s="24" t="n">
        <x:f>IF(SUM(Q$56:Q$65)&gt;0,MIN(MAX(0,I65-(L65+N65+P65)),MAX(0,'Расчет'!B45-(SUM(L56:L65)+SUM(N56:N65)+SUM(P56:P65)))*Q65/SUM(Q$56:Q$65)),0)</x:f>
        <x:v>0</x:v>
      </x:c>
      <x:c r="S65" s="20" t="n">
        <x:f>IF(I65-(L65+N65+P65+R65)&gt;0.000000001,J65,0)</x:f>
        <x:v>0</x:v>
      </x:c>
      <x:c r="T65" s="24" t="n">
        <x:f>IF(SUM(S$56:S$65)&gt;0,MIN(MAX(0,I65-(L65+N65+P65+R65)),MAX(0,'Расчет'!B45-(SUM(L56:L65)+SUM(N56:N65)+SUM(P56:P65)+SUM(R56:R65)))*S65/SUM(S$56:S$65)),0)</x:f>
        <x:v>0</x:v>
      </x:c>
      <x:c r="U65" s="20" t="n">
        <x:f>SUM(L65,N65,P65,R65,T65)</x:f>
        <x:v>0</x:v>
      </x:c>
      <x:c r="V65" s="20" t="n">
        <x:f>0</x:f>
        <x:v>0</x:v>
      </x:c>
      <x:c r="W65" s="20" t="n">
        <x:f>0</x:f>
        <x:v>0</x:v>
      </x:c>
      <x:c r="X65" s="20" t="n">
        <x:f>G65</x:f>
        <x:v>0</x:v>
      </x:c>
      <x:c r="Y65" s="20" t="n">
        <x:f>H65+U65</x:f>
        <x:v>0</x:v>
      </x:c>
      <x:c r="Z65" s="20" t="n">
        <x:f>G65-V65</x:f>
        <x:v>0</x:v>
      </x:c>
      <x:c r="AA65" s="20" t="n">
        <x:f>Y65-W65</x:f>
        <x:v>0</x:v>
      </x:c>
      <x:c r="AB65" s="20" t="n">
        <x:f>Z65-AA65</x:f>
        <x:v>0</x:v>
      </x:c>
    </x:row>
    <x:row r="66" ht="21" customHeight="1">
      <x:c r="A66" s="2" t="str">
        <x:v>Бизнес</x:v>
      </x:c>
      <x:c r="B66" s="12" t="n">
        <x:v>2027</x:v>
      </x:c>
      <x:c r="C66" s="12" t="n">
        <x:v>2026</x:v>
      </x:c>
      <x:c r="D66" s="20" t="n">
        <x:f>0</x:f>
        <x:v>0</x:v>
      </x:c>
      <x:c r="E66" s="20" t="n">
        <x:f>0</x:f>
        <x:v>0</x:v>
      </x:c>
      <x:c r="F66" s="20" t="n">
        <x:f>0</x:f>
        <x:v>0</x:v>
      </x:c>
      <x:c r="G66" s="20" t="n">
        <x:f>D66+F66</x:f>
        <x:v>0</x:v>
      </x:c>
      <x:c r="H66" s="20" t="n">
        <x:f>E66</x:f>
        <x:v>0</x:v>
      </x:c>
      <x:c r="I66" s="20" t="n">
        <x:f>MAX(0,G66-H66)</x:f>
        <x:v>0</x:v>
      </x:c>
      <x:c r="J66" s="39" t="n">
        <x:f>0</x:f>
        <x:v>0</x:v>
      </x:c>
      <x:c r="K66" s="39" t="n">
        <x:f>IF(I66-(0)&gt;0.000000001,J66,0)</x:f>
        <x:v>0</x:v>
      </x:c>
      <x:c r="L66" s="24" t="n">
        <x:f>IF(SUM(K$66:K$75)&gt;0,MIN(MAX(0,I66-(0)),MAX(0,'Расчет'!C45-(0))*K66/SUM(K$66:K$75)),0)</x:f>
        <x:v>0</x:v>
      </x:c>
      <x:c r="M66" s="20" t="n">
        <x:f>IF(I66-(L66)&gt;0.000000001,J66,0)</x:f>
        <x:v>0</x:v>
      </x:c>
      <x:c r="N66" s="24" t="n">
        <x:f>IF(SUM(M$66:M$75)&gt;0,MIN(MAX(0,I66-(L66)),MAX(0,'Расчет'!C45-(SUM(L66:L75)))*M66/SUM(M$66:M$75)),0)</x:f>
        <x:v>0</x:v>
      </x:c>
      <x:c r="O66" s="20" t="n">
        <x:f>IF(I66-(L66+N66)&gt;0.000000001,J66,0)</x:f>
        <x:v>0</x:v>
      </x:c>
      <x:c r="P66" s="24" t="n">
        <x:f>IF(SUM(O$66:O$75)&gt;0,MIN(MAX(0,I66-(L66+N66)),MAX(0,'Расчет'!C45-(SUM(L66:L75)+SUM(N66:N75)))*O66/SUM(O$66:O$75)),0)</x:f>
        <x:v>0</x:v>
      </x:c>
      <x:c r="Q66" s="20" t="n">
        <x:f>IF(I66-(L66+N66+P66)&gt;0.000000001,J66,0)</x:f>
        <x:v>0</x:v>
      </x:c>
      <x:c r="R66" s="24" t="n">
        <x:f>IF(SUM(Q$66:Q$75)&gt;0,MIN(MAX(0,I66-(L66+N66+P66)),MAX(0,'Расчет'!C45-(SUM(L66:L75)+SUM(N66:N75)+SUM(P66:P75)))*Q66/SUM(Q$66:Q$75)),0)</x:f>
        <x:v>0</x:v>
      </x:c>
      <x:c r="S66" s="20" t="n">
        <x:f>IF(I66-(L66+N66+P66+R66)&gt;0.000000001,J66,0)</x:f>
        <x:v>0</x:v>
      </x:c>
      <x:c r="T66" s="24" t="n">
        <x:f>IF(SUM(S$66:S$75)&gt;0,MIN(MAX(0,I66-(L66+N66+P66+R66)),MAX(0,'Расчет'!C45-(SUM(L66:L75)+SUM(N66:N75)+SUM(P66:P75)+SUM(R66:R75)))*S66/SUM(S$66:S$75)),0)</x:f>
        <x:v>0</x:v>
      </x:c>
      <x:c r="U66" s="20" t="n">
        <x:f>SUM(L66,N66,P66,R66,T66)</x:f>
        <x:v>0</x:v>
      </x:c>
      <x:c r="V66" s="20" t="n">
        <x:f>0</x:f>
        <x:v>0</x:v>
      </x:c>
      <x:c r="W66" s="20" t="n">
        <x:f>0</x:f>
        <x:v>0</x:v>
      </x:c>
      <x:c r="X66" s="20" t="n">
        <x:f>G66</x:f>
        <x:v>0</x:v>
      </x:c>
      <x:c r="Y66" s="20" t="n">
        <x:f>H66+U66</x:f>
        <x:v>0</x:v>
      </x:c>
      <x:c r="Z66" s="20" t="n">
        <x:f>G66-V66</x:f>
        <x:v>0</x:v>
      </x:c>
      <x:c r="AA66" s="20" t="n">
        <x:f>Y66-W66</x:f>
        <x:v>0</x:v>
      </x:c>
      <x:c r="AB66" s="20" t="n">
        <x:f>Z66-AA66</x:f>
        <x:v>0</x:v>
      </x:c>
    </x:row>
    <x:row r="67" ht="21" customHeight="1">
      <x:c r="A67" s="2" t="str">
        <x:v>Бизнес</x:v>
      </x:c>
      <x:c r="B67" s="12" t="n">
        <x:v>2027</x:v>
      </x:c>
      <x:c r="C67" s="12" t="n">
        <x:v>2027</x:v>
      </x:c>
      <x:c r="D67" s="20" t="n">
        <x:f>Z57+Z56</x:f>
        <x:v>2447.757459850577</x:v>
      </x:c>
      <x:c r="E67" s="20" t="n">
        <x:f>AA57+AA56</x:f>
        <x:v>1593.8774450134804</x:v>
      </x:c>
      <x:c r="F67" s="24" t="n">
        <x:f>'Расчет'!C36*'Допущения'!B25</x:f>
        <x:v>0</x:v>
      </x:c>
      <x:c r="G67" s="20" t="n">
        <x:f>D67+F67</x:f>
        <x:v>2447.757459850577</x:v>
      </x:c>
      <x:c r="H67" s="20" t="n">
        <x:f>E67</x:f>
        <x:v>1593.8774450134804</x:v>
      </x:c>
      <x:c r="I67" s="20" t="n">
        <x:f>MAX(0,G67-H67)</x:f>
        <x:v>853.8800148370967</x:v>
      </x:c>
      <x:c r="J67" s="38" t="n">
        <x:f>'Допущения'!B30</x:f>
        <x:v>0.1357</x:v>
      </x:c>
      <x:c r="K67" s="39" t="n">
        <x:f>IF(I67-(0)&gt;0.000000001,J67,0)</x:f>
        <x:v>0.1357</x:v>
      </x:c>
      <x:c r="L67" s="24" t="n">
        <x:f>IF(SUM(K$66:K$75)&gt;0,MIN(MAX(0,I67-(0)),MAX(0,'Расчет'!C45-(0))*K67/SUM(K$66:K$75)),0)</x:f>
        <x:v>145.6096733699627</x:v>
      </x:c>
      <x:c r="M67" s="20" t="n">
        <x:f>IF(I67-(L67)&gt;0.000000001,J67,0)</x:f>
        <x:v>0.1357</x:v>
      </x:c>
      <x:c r="N67" s="24" t="n">
        <x:f>IF(SUM(M$66:M$75)&gt;0,MIN(MAX(0,I67-(L67)),MAX(0,'Расчет'!C45-(SUM(L66:L75)))*M67/SUM(M$66:M$75)),0)</x:f>
        <x:v>0</x:v>
      </x:c>
      <x:c r="O67" s="20" t="n">
        <x:f>IF(I67-(L67+N67)&gt;0.000000001,J67,0)</x:f>
        <x:v>0.1357</x:v>
      </x:c>
      <x:c r="P67" s="24" t="n">
        <x:f>IF(SUM(O$66:O$75)&gt;0,MIN(MAX(0,I67-(L67+N67)),MAX(0,'Расчет'!C45-(SUM(L66:L75)+SUM(N66:N75)))*O67/SUM(O$66:O$75)),0)</x:f>
        <x:v>0</x:v>
      </x:c>
      <x:c r="Q67" s="20" t="n">
        <x:f>IF(I67-(L67+N67+P67)&gt;0.000000001,J67,0)</x:f>
        <x:v>0.1357</x:v>
      </x:c>
      <x:c r="R67" s="24" t="n">
        <x:f>IF(SUM(Q$66:Q$75)&gt;0,MIN(MAX(0,I67-(L67+N67+P67)),MAX(0,'Расчет'!C45-(SUM(L66:L75)+SUM(N66:N75)+SUM(P66:P75)))*Q67/SUM(Q$66:Q$75)),0)</x:f>
        <x:v>0</x:v>
      </x:c>
      <x:c r="S67" s="20" t="n">
        <x:f>IF(I67-(L67+N67+P67+R67)&gt;0.000000001,J67,0)</x:f>
        <x:v>0.1357</x:v>
      </x:c>
      <x:c r="T67" s="24" t="n">
        <x:f>IF(SUM(S$66:S$75)&gt;0,MIN(MAX(0,I67-(L67+N67+P67+R67)),MAX(0,'Расчет'!C45-(SUM(L66:L75)+SUM(N66:N75)+SUM(P66:P75)+SUM(R66:R75)))*S67/SUM(S$66:S$75)),0)</x:f>
        <x:v>0</x:v>
      </x:c>
      <x:c r="U67" s="20" t="n">
        <x:f>SUM(L67,N67,P67,R67,T67)</x:f>
        <x:v>145.6096733699627</x:v>
      </x:c>
      <x:c r="V67" s="24" t="n">
        <x:f>G67*(1-'Допущения'!C7)</x:f>
        <x:v>2080.5938408729903</x:v>
      </x:c>
      <x:c r="W67" s="24" t="n">
        <x:f>Y67*(1-'Допущения'!C7)</x:f>
        <x:v>1478.5640506259265</x:v>
      </x:c>
      <x:c r="X67" s="20" t="n">
        <x:f>G67</x:f>
        <x:v>2447.757459850577</x:v>
      </x:c>
      <x:c r="Y67" s="20" t="n">
        <x:f>H67+U67</x:f>
        <x:v>1739.487118383443</x:v>
      </x:c>
      <x:c r="Z67" s="20" t="n">
        <x:f>G67-V67</x:f>
        <x:v>367.1636189775868</x:v>
      </x:c>
      <x:c r="AA67" s="20" t="n">
        <x:f>Y67-W67</x:f>
        <x:v>260.9230677575165</x:v>
      </x:c>
      <x:c r="AB67" s="20" t="n">
        <x:f>Z67-AA67</x:f>
        <x:v>106.2405512200703</x:v>
      </x:c>
    </x:row>
    <x:row r="68" ht="21" customHeight="1">
      <x:c r="A68" s="2" t="str">
        <x:v>Бизнес</x:v>
      </x:c>
      <x:c r="B68" s="12" t="n">
        <x:v>2027</x:v>
      </x:c>
      <x:c r="C68" s="12" t="n">
        <x:v>2028</x:v>
      </x:c>
      <x:c r="D68" s="20" t="n">
        <x:f>Z58</x:f>
        <x:v>1510.3509294773269</x:v>
      </x:c>
      <x:c r="E68" s="20" t="n">
        <x:f>AA58</x:f>
        <x:v>651.3458198029916</x:v>
      </x:c>
      <x:c r="F68" s="24" t="n">
        <x:f>'Расчет'!C36*'Допущения'!C25</x:f>
        <x:v>9.985665177166036</x:v>
      </x:c>
      <x:c r="G68" s="20" t="n">
        <x:f>D68+F68</x:f>
        <x:v>1520.336594654493</x:v>
      </x:c>
      <x:c r="H68" s="20" t="n">
        <x:f>E68</x:f>
        <x:v>651.3458198029916</x:v>
      </x:c>
      <x:c r="I68" s="20" t="n">
        <x:f>MAX(0,G68-H68)</x:f>
        <x:v>868.9907748515013</x:v>
      </x:c>
      <x:c r="J68" s="38" t="n">
        <x:f>'Допущения'!C30</x:f>
        <x:v>0.3612</x:v>
      </x:c>
      <x:c r="K68" s="39" t="n">
        <x:f>IF(I68-(0)&gt;0.000000001,J68,0)</x:f>
        <x:v>0.3612</x:v>
      </x:c>
      <x:c r="L68" s="24" t="n">
        <x:f>IF(SUM(K$66:K$75)&gt;0,MIN(MAX(0,I68-(0)),MAX(0,'Расчет'!C45-(0))*K68/SUM(K$66:K$75)),0)</x:f>
        <x:v>387.57711143132303</x:v>
      </x:c>
      <x:c r="M68" s="20" t="n">
        <x:f>IF(I68-(L68)&gt;0.000000001,J68,0)</x:f>
        <x:v>0.3612</x:v>
      </x:c>
      <x:c r="N68" s="24" t="n">
        <x:f>IF(SUM(M$66:M$75)&gt;0,MIN(MAX(0,I68-(L68)),MAX(0,'Расчет'!C45-(SUM(L66:L75)))*M68/SUM(M$66:M$75)),0)</x:f>
        <x:v>0</x:v>
      </x:c>
      <x:c r="O68" s="20" t="n">
        <x:f>IF(I68-(L68+N68)&gt;0.000000001,J68,0)</x:f>
        <x:v>0.3612</x:v>
      </x:c>
      <x:c r="P68" s="24" t="n">
        <x:f>IF(SUM(O$66:O$75)&gt;0,MIN(MAX(0,I68-(L68+N68)),MAX(0,'Расчет'!C45-(SUM(L66:L75)+SUM(N66:N75)))*O68/SUM(O$66:O$75)),0)</x:f>
        <x:v>0</x:v>
      </x:c>
      <x:c r="Q68" s="20" t="n">
        <x:f>IF(I68-(L68+N68+P68)&gt;0.000000001,J68,0)</x:f>
        <x:v>0.3612</x:v>
      </x:c>
      <x:c r="R68" s="24" t="n">
        <x:f>IF(SUM(Q$66:Q$75)&gt;0,MIN(MAX(0,I68-(L68+N68+P68)),MAX(0,'Расчет'!C45-(SUM(L66:L75)+SUM(N66:N75)+SUM(P66:P75)))*Q68/SUM(Q$66:Q$75)),0)</x:f>
        <x:v>0</x:v>
      </x:c>
      <x:c r="S68" s="20" t="n">
        <x:f>IF(I68-(L68+N68+P68+R68)&gt;0.000000001,J68,0)</x:f>
        <x:v>0.3612</x:v>
      </x:c>
      <x:c r="T68" s="24" t="n">
        <x:f>IF(SUM(S$66:S$75)&gt;0,MIN(MAX(0,I68-(L68+N68+P68+R68)),MAX(0,'Расчет'!C45-(SUM(L66:L75)+SUM(N66:N75)+SUM(P66:P75)+SUM(R66:R75)))*S68/SUM(S$66:S$75)),0)</x:f>
        <x:v>0</x:v>
      </x:c>
      <x:c r="U68" s="20" t="n">
        <x:f>SUM(L68,N68,P68,R68,T68)</x:f>
        <x:v>387.57711143132303</x:v>
      </x:c>
      <x:c r="V68" s="20" t="n">
        <x:f>0</x:f>
        <x:v>0</x:v>
      </x:c>
      <x:c r="W68" s="20" t="n">
        <x:f>0</x:f>
        <x:v>0</x:v>
      </x:c>
      <x:c r="X68" s="20" t="n">
        <x:f>G68</x:f>
        <x:v>1520.336594654493</x:v>
      </x:c>
      <x:c r="Y68" s="20" t="n">
        <x:f>H68+U68</x:f>
        <x:v>1038.9229312343145</x:v>
      </x:c>
      <x:c r="Z68" s="20" t="n">
        <x:f>G68-V68</x:f>
        <x:v>1520.336594654493</x:v>
      </x:c>
      <x:c r="AA68" s="20" t="n">
        <x:f>Y68-W68</x:f>
        <x:v>1038.9229312343145</x:v>
      </x:c>
      <x:c r="AB68" s="20" t="n">
        <x:f>Z68-AA68</x:f>
        <x:v>481.4136634201784</x:v>
      </x:c>
    </x:row>
    <x:row r="69" ht="21" customHeight="1">
      <x:c r="A69" s="2" t="str">
        <x:v>Бизнес</x:v>
      </x:c>
      <x:c r="B69" s="12" t="n">
        <x:v>2027</x:v>
      </x:c>
      <x:c r="C69" s="12" t="n">
        <x:v>2029</x:v>
      </x:c>
      <x:c r="D69" s="20" t="n">
        <x:f>Z59</x:f>
        <x:v>1124.7418366755915</x:v>
      </x:c>
      <x:c r="E69" s="20" t="n">
        <x:f>AA59</x:f>
        <x:v>254.2850783527716</x:v>
      </x:c>
      <x:c r="F69" s="24" t="n">
        <x:f>'Расчет'!C36*'Допущения'!D25</x:f>
        <x:v>59.21624282864151</x:v>
      </x:c>
      <x:c r="G69" s="20" t="n">
        <x:f>D69+F69</x:f>
        <x:v>1183.958079504233</x:v>
      </x:c>
      <x:c r="H69" s="20" t="n">
        <x:f>E69</x:f>
        <x:v>254.2850783527716</x:v>
      </x:c>
      <x:c r="I69" s="20" t="n">
        <x:f>MAX(0,G69-H69)</x:f>
        <x:v>929.6730011514613</x:v>
      </x:c>
      <x:c r="J69" s="38" t="n">
        <x:f>'Допущения'!D30</x:f>
        <x:v>0.3111</x:v>
      </x:c>
      <x:c r="K69" s="39" t="n">
        <x:f>IF(I69-(0)&gt;0.000000001,J69,0)</x:f>
        <x:v>0.3111</x:v>
      </x:c>
      <x:c r="L69" s="24" t="n">
        <x:f>IF(SUM(K$66:K$75)&gt;0,MIN(MAX(0,I69-(0)),MAX(0,'Расчет'!C45-(0))*K69/SUM(K$66:K$75)),0)</x:f>
        <x:v>333.8184921547192</x:v>
      </x:c>
      <x:c r="M69" s="20" t="n">
        <x:f>IF(I69-(L69)&gt;0.000000001,J69,0)</x:f>
        <x:v>0.3111</x:v>
      </x:c>
      <x:c r="N69" s="24" t="n">
        <x:f>IF(SUM(M$66:M$75)&gt;0,MIN(MAX(0,I69-(L69)),MAX(0,'Расчет'!C45-(SUM(L66:L75)))*M69/SUM(M$66:M$75)),0)</x:f>
        <x:v>0</x:v>
      </x:c>
      <x:c r="O69" s="20" t="n">
        <x:f>IF(I69-(L69+N69)&gt;0.000000001,J69,0)</x:f>
        <x:v>0.3111</x:v>
      </x:c>
      <x:c r="P69" s="24" t="n">
        <x:f>IF(SUM(O$66:O$75)&gt;0,MIN(MAX(0,I69-(L69+N69)),MAX(0,'Расчет'!C45-(SUM(L66:L75)+SUM(N66:N75)))*O69/SUM(O$66:O$75)),0)</x:f>
        <x:v>0</x:v>
      </x:c>
      <x:c r="Q69" s="20" t="n">
        <x:f>IF(I69-(L69+N69+P69)&gt;0.000000001,J69,0)</x:f>
        <x:v>0.3111</x:v>
      </x:c>
      <x:c r="R69" s="24" t="n">
        <x:f>IF(SUM(Q$66:Q$75)&gt;0,MIN(MAX(0,I69-(L69+N69+P69)),MAX(0,'Расчет'!C45-(SUM(L66:L75)+SUM(N66:N75)+SUM(P66:P75)))*Q69/SUM(Q$66:Q$75)),0)</x:f>
        <x:v>0</x:v>
      </x:c>
      <x:c r="S69" s="20" t="n">
        <x:f>IF(I69-(L69+N69+P69+R69)&gt;0.000000001,J69,0)</x:f>
        <x:v>0.3111</x:v>
      </x:c>
      <x:c r="T69" s="24" t="n">
        <x:f>IF(SUM(S$66:S$75)&gt;0,MIN(MAX(0,I69-(L69+N69+P69+R69)),MAX(0,'Расчет'!C45-(SUM(L66:L75)+SUM(N66:N75)+SUM(P66:P75)+SUM(R66:R75)))*S69/SUM(S$66:S$75)),0)</x:f>
        <x:v>0</x:v>
      </x:c>
      <x:c r="U69" s="20" t="n">
        <x:f>SUM(L69,N69,P69,R69,T69)</x:f>
        <x:v>333.8184921547192</x:v>
      </x:c>
      <x:c r="V69" s="20" t="n">
        <x:f>0</x:f>
        <x:v>0</x:v>
      </x:c>
      <x:c r="W69" s="20" t="n">
        <x:f>0</x:f>
        <x:v>0</x:v>
      </x:c>
      <x:c r="X69" s="20" t="n">
        <x:f>G69</x:f>
        <x:v>1183.958079504233</x:v>
      </x:c>
      <x:c r="Y69" s="20" t="n">
        <x:f>H69+U69</x:f>
        <x:v>588.1035705074908</x:v>
      </x:c>
      <x:c r="Z69" s="20" t="n">
        <x:f>G69-V69</x:f>
        <x:v>1183.958079504233</x:v>
      </x:c>
      <x:c r="AA69" s="20" t="n">
        <x:f>Y69-W69</x:f>
        <x:v>588.1035705074908</x:v>
      </x:c>
      <x:c r="AB69" s="20" t="n">
        <x:f>Z69-AA69</x:f>
        <x:v>595.8545089967422</x:v>
      </x:c>
    </x:row>
    <x:row r="70" ht="21" customHeight="1">
      <x:c r="A70" s="2" t="str">
        <x:v>Бизнес</x:v>
      </x:c>
      <x:c r="B70" s="12" t="n">
        <x:v>2027</x:v>
      </x:c>
      <x:c r="C70" s="12" t="n">
        <x:v>2030</x:v>
      </x:c>
      <x:c r="D70" s="20" t="n">
        <x:f>Z60</x:f>
        <x:v>438.4518746718851</x:v>
      </x:c>
      <x:c r="E70" s="20" t="n">
        <x:f>AA60</x:f>
        <x:v>10.507180300955138</x:v>
      </x:c>
      <x:c r="F70" s="24" t="n">
        <x:f>'Расчет'!C36*'Допущения'!E25</x:f>
        <x:v>326.6401888122437</x:v>
      </x:c>
      <x:c r="G70" s="20" t="n">
        <x:f>D70+F70</x:f>
        <x:v>765.0920634841289</x:v>
      </x:c>
      <x:c r="H70" s="20" t="n">
        <x:f>E70</x:f>
        <x:v>10.507180300955138</x:v>
      </x:c>
      <x:c r="I70" s="20" t="n">
        <x:f>MAX(0,G70-H70)</x:f>
        <x:v>754.5848831831737</x:v>
      </x:c>
      <x:c r="J70" s="38" t="n">
        <x:f>'Допущения'!E30</x:f>
        <x:v>0.1495</x:v>
      </x:c>
      <x:c r="K70" s="39" t="n">
        <x:f>IF(I70-(0)&gt;0.000000001,J70,0)</x:f>
        <x:v>0.1495</x:v>
      </x:c>
      <x:c r="L70" s="24" t="n">
        <x:f>IF(SUM(K$66:K$75)&gt;0,MIN(MAX(0,I70-(0)),MAX(0,'Расчет'!C45-(0))*K70/SUM(K$66:K$75)),0)</x:f>
        <x:v>160.41743676351823</x:v>
      </x:c>
      <x:c r="M70" s="20" t="n">
        <x:f>IF(I70-(L70)&gt;0.000000001,J70,0)</x:f>
        <x:v>0.1495</x:v>
      </x:c>
      <x:c r="N70" s="24" t="n">
        <x:f>IF(SUM(M$66:M$75)&gt;0,MIN(MAX(0,I70-(L70)),MAX(0,'Расчет'!C45-(SUM(L66:L75)))*M70/SUM(M$66:M$75)),0)</x:f>
        <x:v>0</x:v>
      </x:c>
      <x:c r="O70" s="20" t="n">
        <x:f>IF(I70-(L70+N70)&gt;0.000000001,J70,0)</x:f>
        <x:v>0.1495</x:v>
      </x:c>
      <x:c r="P70" s="24" t="n">
        <x:f>IF(SUM(O$66:O$75)&gt;0,MIN(MAX(0,I70-(L70+N70)),MAX(0,'Расчет'!C45-(SUM(L66:L75)+SUM(N66:N75)))*O70/SUM(O$66:O$75)),0)</x:f>
        <x:v>0</x:v>
      </x:c>
      <x:c r="Q70" s="20" t="n">
        <x:f>IF(I70-(L70+N70+P70)&gt;0.000000001,J70,0)</x:f>
        <x:v>0.1495</x:v>
      </x:c>
      <x:c r="R70" s="24" t="n">
        <x:f>IF(SUM(Q$66:Q$75)&gt;0,MIN(MAX(0,I70-(L70+N70+P70)),MAX(0,'Расчет'!C45-(SUM(L66:L75)+SUM(N66:N75)+SUM(P66:P75)))*Q70/SUM(Q$66:Q$75)),0)</x:f>
        <x:v>0</x:v>
      </x:c>
      <x:c r="S70" s="20" t="n">
        <x:f>IF(I70-(L70+N70+P70+R70)&gt;0.000000001,J70,0)</x:f>
        <x:v>0.1495</x:v>
      </x:c>
      <x:c r="T70" s="24" t="n">
        <x:f>IF(SUM(S$66:S$75)&gt;0,MIN(MAX(0,I70-(L70+N70+P70+R70)),MAX(0,'Расчет'!C45-(SUM(L66:L75)+SUM(N66:N75)+SUM(P66:P75)+SUM(R66:R75)))*S70/SUM(S$66:S$75)),0)</x:f>
        <x:v>0</x:v>
      </x:c>
      <x:c r="U70" s="20" t="n">
        <x:f>SUM(L70,N70,P70,R70,T70)</x:f>
        <x:v>160.41743676351823</x:v>
      </x:c>
      <x:c r="V70" s="20" t="n">
        <x:f>0</x:f>
        <x:v>0</x:v>
      </x:c>
      <x:c r="W70" s="20" t="n">
        <x:f>0</x:f>
        <x:v>0</x:v>
      </x:c>
      <x:c r="X70" s="20" t="n">
        <x:f>G70</x:f>
        <x:v>765.0920634841289</x:v>
      </x:c>
      <x:c r="Y70" s="20" t="n">
        <x:f>H70+U70</x:f>
        <x:v>170.92461706447335</x:v>
      </x:c>
      <x:c r="Z70" s="20" t="n">
        <x:f>G70-V70</x:f>
        <x:v>765.0920634841289</x:v>
      </x:c>
      <x:c r="AA70" s="20" t="n">
        <x:f>Y70-W70</x:f>
        <x:v>170.92461706447335</x:v>
      </x:c>
      <x:c r="AB70" s="20" t="n">
        <x:f>Z70-AA70</x:f>
        <x:v>594.1674464196556</x:v>
      </x:c>
    </x:row>
    <x:row r="71" ht="21" customHeight="1">
      <x:c r="A71" s="2" t="str">
        <x:v>Бизнес</x:v>
      </x:c>
      <x:c r="B71" s="12" t="n">
        <x:v>2027</x:v>
      </x:c>
      <x:c r="C71" s="12" t="n">
        <x:v>2031</x:v>
      </x:c>
      <x:c r="D71" s="20" t="n">
        <x:f>Z61</x:f>
        <x:v>45.54933138068699</x:v>
      </x:c>
      <x:c r="E71" s="20" t="n">
        <x:f>AA61</x:f>
        <x:v>0</x:v>
      </x:c>
      <x:c r="F71" s="24" t="n">
        <x:f>'Расчет'!C36*'Допущения'!F25</x:f>
        <x:v>553.8619424383468</x:v>
      </x:c>
      <x:c r="G71" s="20" t="n">
        <x:f>D71+F71</x:f>
        <x:v>599.4112738190338</x:v>
      </x:c>
      <x:c r="H71" s="20" t="n">
        <x:f>E71</x:f>
        <x:v>0</x:v>
      </x:c>
      <x:c r="I71" s="20" t="n">
        <x:f>MAX(0,G71-H71)</x:f>
        <x:v>599.4112738190338</x:v>
      </x:c>
      <x:c r="J71" s="38" t="n">
        <x:f>'Допущения'!F30</x:f>
        <x:v>0.0425</x:v>
      </x:c>
      <x:c r="K71" s="39" t="n">
        <x:f>IF(I71-(0)&gt;0.000000001,J71,0)</x:f>
        <x:v>0.0425</x:v>
      </x:c>
      <x:c r="L71" s="24" t="n">
        <x:f>IF(SUM(K$66:K$75)&gt;0,MIN(MAX(0,I71-(0)),MAX(0,'Расчет'!C45-(0))*K71/SUM(K$66:K$75)),0)</x:f>
        <x:v>45.60361914681957</x:v>
      </x:c>
      <x:c r="M71" s="20" t="n">
        <x:f>IF(I71-(L71)&gt;0.000000001,J71,0)</x:f>
        <x:v>0.0425</x:v>
      </x:c>
      <x:c r="N71" s="24" t="n">
        <x:f>IF(SUM(M$66:M$75)&gt;0,MIN(MAX(0,I71-(L71)),MAX(0,'Расчет'!C45-(SUM(L66:L75)))*M71/SUM(M$66:M$75)),0)</x:f>
        <x:v>0</x:v>
      </x:c>
      <x:c r="O71" s="20" t="n">
        <x:f>IF(I71-(L71+N71)&gt;0.000000001,J71,0)</x:f>
        <x:v>0.0425</x:v>
      </x:c>
      <x:c r="P71" s="24" t="n">
        <x:f>IF(SUM(O$66:O$75)&gt;0,MIN(MAX(0,I71-(L71+N71)),MAX(0,'Расчет'!C45-(SUM(L66:L75)+SUM(N66:N75)))*O71/SUM(O$66:O$75)),0)</x:f>
        <x:v>0</x:v>
      </x:c>
      <x:c r="Q71" s="20" t="n">
        <x:f>IF(I71-(L71+N71+P71)&gt;0.000000001,J71,0)</x:f>
        <x:v>0.0425</x:v>
      </x:c>
      <x:c r="R71" s="24" t="n">
        <x:f>IF(SUM(Q$66:Q$75)&gt;0,MIN(MAX(0,I71-(L71+N71+P71)),MAX(0,'Расчет'!C45-(SUM(L66:L75)+SUM(N66:N75)+SUM(P66:P75)))*Q71/SUM(Q$66:Q$75)),0)</x:f>
        <x:v>0</x:v>
      </x:c>
      <x:c r="S71" s="20" t="n">
        <x:f>IF(I71-(L71+N71+P71+R71)&gt;0.000000001,J71,0)</x:f>
        <x:v>0.0425</x:v>
      </x:c>
      <x:c r="T71" s="24" t="n">
        <x:f>IF(SUM(S$66:S$75)&gt;0,MIN(MAX(0,I71-(L71+N71+P71+R71)),MAX(0,'Расчет'!C45-(SUM(L66:L75)+SUM(N66:N75)+SUM(P66:P75)+SUM(R66:R75)))*S71/SUM(S$66:S$75)),0)</x:f>
        <x:v>0</x:v>
      </x:c>
      <x:c r="U71" s="20" t="n">
        <x:f>SUM(L71,N71,P71,R71,T71)</x:f>
        <x:v>45.60361914681957</x:v>
      </x:c>
      <x:c r="V71" s="20" t="n">
        <x:f>0</x:f>
        <x:v>0</x:v>
      </x:c>
      <x:c r="W71" s="20" t="n">
        <x:f>0</x:f>
        <x:v>0</x:v>
      </x:c>
      <x:c r="X71" s="20" t="n">
        <x:f>G71</x:f>
        <x:v>599.4112738190338</x:v>
      </x:c>
      <x:c r="Y71" s="20" t="n">
        <x:f>H71+U71</x:f>
        <x:v>45.60361914681957</x:v>
      </x:c>
      <x:c r="Z71" s="20" t="n">
        <x:f>G71-V71</x:f>
        <x:v>599.4112738190338</x:v>
      </x:c>
      <x:c r="AA71" s="20" t="n">
        <x:f>Y71-W71</x:f>
        <x:v>45.60361914681957</x:v>
      </x:c>
      <x:c r="AB71" s="20" t="n">
        <x:f>Z71-AA71</x:f>
        <x:v>553.8076546722142</x:v>
      </x:c>
    </x:row>
    <x:row r="72" ht="21" customHeight="1">
      <x:c r="A72" s="2" t="str">
        <x:v>Бизнес</x:v>
      </x:c>
      <x:c r="B72" s="12" t="n">
        <x:v>2027</x:v>
      </x:c>
      <x:c r="C72" s="12" t="n">
        <x:v>2032</x:v>
      </x:c>
      <x:c r="D72" s="20" t="n">
        <x:f>Z62</x:f>
        <x:v>0</x:v>
      </x:c>
      <x:c r="E72" s="20" t="n">
        <x:f>AA62</x:f>
        <x:v>0</x:v>
      </x:c>
      <x:c r="F72" s="24" t="n">
        <x:f>'Расчет'!C36*'Допущения'!G25</x:f>
        <x:v>41.47545955970333</x:v>
      </x:c>
      <x:c r="G72" s="20" t="n">
        <x:f>D72+F72</x:f>
        <x:v>41.47545955970333</x:v>
      </x:c>
      <x:c r="H72" s="20" t="n">
        <x:f>E72</x:f>
        <x:v>0</x:v>
      </x:c>
      <x:c r="I72" s="20" t="n">
        <x:f>MAX(0,G72-H72)</x:f>
        <x:v>41.47545955970333</x:v>
      </x:c>
      <x:c r="J72" s="39" t="n">
        <x:f>0</x:f>
        <x:v>0</x:v>
      </x:c>
      <x:c r="K72" s="39" t="n">
        <x:f>IF(I72-(0)&gt;0.000000001,J72,0)</x:f>
        <x:v>0</x:v>
      </x:c>
      <x:c r="L72" s="24" t="n">
        <x:f>IF(SUM(K$66:K$75)&gt;0,MIN(MAX(0,I72-(0)),MAX(0,'Расчет'!C45-(0))*K72/SUM(K$66:K$75)),0)</x:f>
        <x:v>0</x:v>
      </x:c>
      <x:c r="M72" s="20" t="n">
        <x:f>IF(I72-(L72)&gt;0.000000001,J72,0)</x:f>
        <x:v>0</x:v>
      </x:c>
      <x:c r="N72" s="24" t="n">
        <x:f>IF(SUM(M$66:M$75)&gt;0,MIN(MAX(0,I72-(L72)),MAX(0,'Расчет'!C45-(SUM(L66:L75)))*M72/SUM(M$66:M$75)),0)</x:f>
        <x:v>0</x:v>
      </x:c>
      <x:c r="O72" s="20" t="n">
        <x:f>IF(I72-(L72+N72)&gt;0.000000001,J72,0)</x:f>
        <x:v>0</x:v>
      </x:c>
      <x:c r="P72" s="24" t="n">
        <x:f>IF(SUM(O$66:O$75)&gt;0,MIN(MAX(0,I72-(L72+N72)),MAX(0,'Расчет'!C45-(SUM(L66:L75)+SUM(N66:N75)))*O72/SUM(O$66:O$75)),0)</x:f>
        <x:v>0</x:v>
      </x:c>
      <x:c r="Q72" s="20" t="n">
        <x:f>IF(I72-(L72+N72+P72)&gt;0.000000001,J72,0)</x:f>
        <x:v>0</x:v>
      </x:c>
      <x:c r="R72" s="24" t="n">
        <x:f>IF(SUM(Q$66:Q$75)&gt;0,MIN(MAX(0,I72-(L72+N72+P72)),MAX(0,'Расчет'!C45-(SUM(L66:L75)+SUM(N66:N75)+SUM(P66:P75)))*Q72/SUM(Q$66:Q$75)),0)</x:f>
        <x:v>0</x:v>
      </x:c>
      <x:c r="S72" s="20" t="n">
        <x:f>IF(I72-(L72+N72+P72+R72)&gt;0.000000001,J72,0)</x:f>
        <x:v>0</x:v>
      </x:c>
      <x:c r="T72" s="24" t="n">
        <x:f>IF(SUM(S$66:S$75)&gt;0,MIN(MAX(0,I72-(L72+N72+P72+R72)),MAX(0,'Расчет'!C45-(SUM(L66:L75)+SUM(N66:N75)+SUM(P66:P75)+SUM(R66:R75)))*S72/SUM(S$66:S$75)),0)</x:f>
        <x:v>0</x:v>
      </x:c>
      <x:c r="U72" s="20" t="n">
        <x:f>SUM(L72,N72,P72,R72,T72)</x:f>
        <x:v>0</x:v>
      </x:c>
      <x:c r="V72" s="20" t="n">
        <x:f>0</x:f>
        <x:v>0</x:v>
      </x:c>
      <x:c r="W72" s="20" t="n">
        <x:f>0</x:f>
        <x:v>0</x:v>
      </x:c>
      <x:c r="X72" s="20" t="n">
        <x:f>G72</x:f>
        <x:v>41.47545955970333</x:v>
      </x:c>
      <x:c r="Y72" s="20" t="n">
        <x:f>H72+U72</x:f>
        <x:v>0</x:v>
      </x:c>
      <x:c r="Z72" s="20" t="n">
        <x:f>G72-V72</x:f>
        <x:v>41.47545955970333</x:v>
      </x:c>
      <x:c r="AA72" s="20" t="n">
        <x:f>Y72-W72</x:f>
        <x:v>0</x:v>
      </x:c>
      <x:c r="AB72" s="20" t="n">
        <x:f>Z72-AA72</x:f>
        <x:v>41.47545955970333</x:v>
      </x:c>
    </x:row>
    <x:row r="73" ht="21" customHeight="1">
      <x:c r="A73" s="2" t="str">
        <x:v>Бизнес</x:v>
      </x:c>
      <x:c r="B73" s="12" t="n">
        <x:v>2027</x:v>
      </x:c>
      <x:c r="C73" s="12" t="n">
        <x:v>2033</x:v>
      </x:c>
      <x:c r="D73" s="20" t="n">
        <x:f>Z63</x:f>
        <x:v>0</x:v>
      </x:c>
      <x:c r="E73" s="20" t="n">
        <x:f>AA63</x:f>
        <x:v>0</x:v>
      </x:c>
      <x:c r="F73" s="20" t="n">
        <x:f>0</x:f>
        <x:v>0</x:v>
      </x:c>
      <x:c r="G73" s="20" t="n">
        <x:f>D73+F73</x:f>
        <x:v>0</x:v>
      </x:c>
      <x:c r="H73" s="20" t="n">
        <x:f>E73</x:f>
        <x:v>0</x:v>
      </x:c>
      <x:c r="I73" s="20" t="n">
        <x:f>MAX(0,G73-H73)</x:f>
        <x:v>0</x:v>
      </x:c>
      <x:c r="J73" s="39" t="n">
        <x:f>0</x:f>
        <x:v>0</x:v>
      </x:c>
      <x:c r="K73" s="39" t="n">
        <x:f>IF(I73-(0)&gt;0.000000001,J73,0)</x:f>
        <x:v>0</x:v>
      </x:c>
      <x:c r="L73" s="24" t="n">
        <x:f>IF(SUM(K$66:K$75)&gt;0,MIN(MAX(0,I73-(0)),MAX(0,'Расчет'!C45-(0))*K73/SUM(K$66:K$75)),0)</x:f>
        <x:v>0</x:v>
      </x:c>
      <x:c r="M73" s="20" t="n">
        <x:f>IF(I73-(L73)&gt;0.000000001,J73,0)</x:f>
        <x:v>0</x:v>
      </x:c>
      <x:c r="N73" s="24" t="n">
        <x:f>IF(SUM(M$66:M$75)&gt;0,MIN(MAX(0,I73-(L73)),MAX(0,'Расчет'!C45-(SUM(L66:L75)))*M73/SUM(M$66:M$75)),0)</x:f>
        <x:v>0</x:v>
      </x:c>
      <x:c r="O73" s="20" t="n">
        <x:f>IF(I73-(L73+N73)&gt;0.000000001,J73,0)</x:f>
        <x:v>0</x:v>
      </x:c>
      <x:c r="P73" s="24" t="n">
        <x:f>IF(SUM(O$66:O$75)&gt;0,MIN(MAX(0,I73-(L73+N73)),MAX(0,'Расчет'!C45-(SUM(L66:L75)+SUM(N66:N75)))*O73/SUM(O$66:O$75)),0)</x:f>
        <x:v>0</x:v>
      </x:c>
      <x:c r="Q73" s="20" t="n">
        <x:f>IF(I73-(L73+N73+P73)&gt;0.000000001,J73,0)</x:f>
        <x:v>0</x:v>
      </x:c>
      <x:c r="R73" s="24" t="n">
        <x:f>IF(SUM(Q$66:Q$75)&gt;0,MIN(MAX(0,I73-(L73+N73+P73)),MAX(0,'Расчет'!C45-(SUM(L66:L75)+SUM(N66:N75)+SUM(P66:P75)))*Q73/SUM(Q$66:Q$75)),0)</x:f>
        <x:v>0</x:v>
      </x:c>
      <x:c r="S73" s="20" t="n">
        <x:f>IF(I73-(L73+N73+P73+R73)&gt;0.000000001,J73,0)</x:f>
        <x:v>0</x:v>
      </x:c>
      <x:c r="T73" s="24" t="n">
        <x:f>IF(SUM(S$66:S$75)&gt;0,MIN(MAX(0,I73-(L73+N73+P73+R73)),MAX(0,'Расчет'!C45-(SUM(L66:L75)+SUM(N66:N75)+SUM(P66:P75)+SUM(R66:R75)))*S73/SUM(S$66:S$75)),0)</x:f>
        <x:v>0</x:v>
      </x:c>
      <x:c r="U73" s="20" t="n">
        <x:f>SUM(L73,N73,P73,R73,T73)</x:f>
        <x:v>0</x:v>
      </x:c>
      <x:c r="V73" s="20" t="n">
        <x:f>0</x:f>
        <x:v>0</x:v>
      </x:c>
      <x:c r="W73" s="20" t="n">
        <x:f>0</x:f>
        <x:v>0</x:v>
      </x:c>
      <x:c r="X73" s="20" t="n">
        <x:f>G73</x:f>
        <x:v>0</x:v>
      </x:c>
      <x:c r="Y73" s="20" t="n">
        <x:f>H73+U73</x:f>
        <x:v>0</x:v>
      </x:c>
      <x:c r="Z73" s="20" t="n">
        <x:f>G73-V73</x:f>
        <x:v>0</x:v>
      </x:c>
      <x:c r="AA73" s="20" t="n">
        <x:f>Y73-W73</x:f>
        <x:v>0</x:v>
      </x:c>
      <x:c r="AB73" s="20" t="n">
        <x:f>Z73-AA73</x:f>
        <x:v>0</x:v>
      </x:c>
    </x:row>
    <x:row r="74" ht="21" customHeight="1">
      <x:c r="A74" s="2" t="str">
        <x:v>Бизнес</x:v>
      </x:c>
      <x:c r="B74" s="12" t="n">
        <x:v>2027</x:v>
      </x:c>
      <x:c r="C74" s="12" t="n">
        <x:v>2034</x:v>
      </x:c>
      <x:c r="D74" s="20" t="n">
        <x:f>Z64</x:f>
        <x:v>0</x:v>
      </x:c>
      <x:c r="E74" s="20" t="n">
        <x:f>AA64</x:f>
        <x:v>0</x:v>
      </x:c>
      <x:c r="F74" s="20" t="n">
        <x:f>0</x:f>
        <x:v>0</x:v>
      </x:c>
      <x:c r="G74" s="20" t="n">
        <x:f>D74+F74</x:f>
        <x:v>0</x:v>
      </x:c>
      <x:c r="H74" s="20" t="n">
        <x:f>E74</x:f>
        <x:v>0</x:v>
      </x:c>
      <x:c r="I74" s="20" t="n">
        <x:f>MAX(0,G74-H74)</x:f>
        <x:v>0</x:v>
      </x:c>
      <x:c r="J74" s="39" t="n">
        <x:f>0</x:f>
        <x:v>0</x:v>
      </x:c>
      <x:c r="K74" s="39" t="n">
        <x:f>IF(I74-(0)&gt;0.000000001,J74,0)</x:f>
        <x:v>0</x:v>
      </x:c>
      <x:c r="L74" s="24" t="n">
        <x:f>IF(SUM(K$66:K$75)&gt;0,MIN(MAX(0,I74-(0)),MAX(0,'Расчет'!C45-(0))*K74/SUM(K$66:K$75)),0)</x:f>
        <x:v>0</x:v>
      </x:c>
      <x:c r="M74" s="20" t="n">
        <x:f>IF(I74-(L74)&gt;0.000000001,J74,0)</x:f>
        <x:v>0</x:v>
      </x:c>
      <x:c r="N74" s="24" t="n">
        <x:f>IF(SUM(M$66:M$75)&gt;0,MIN(MAX(0,I74-(L74)),MAX(0,'Расчет'!C45-(SUM(L66:L75)))*M74/SUM(M$66:M$75)),0)</x:f>
        <x:v>0</x:v>
      </x:c>
      <x:c r="O74" s="20" t="n">
        <x:f>IF(I74-(L74+N74)&gt;0.000000001,J74,0)</x:f>
        <x:v>0</x:v>
      </x:c>
      <x:c r="P74" s="24" t="n">
        <x:f>IF(SUM(O$66:O$75)&gt;0,MIN(MAX(0,I74-(L74+N74)),MAX(0,'Расчет'!C45-(SUM(L66:L75)+SUM(N66:N75)))*O74/SUM(O$66:O$75)),0)</x:f>
        <x:v>0</x:v>
      </x:c>
      <x:c r="Q74" s="20" t="n">
        <x:f>IF(I74-(L74+N74+P74)&gt;0.000000001,J74,0)</x:f>
        <x:v>0</x:v>
      </x:c>
      <x:c r="R74" s="24" t="n">
        <x:f>IF(SUM(Q$66:Q$75)&gt;0,MIN(MAX(0,I74-(L74+N74+P74)),MAX(0,'Расчет'!C45-(SUM(L66:L75)+SUM(N66:N75)+SUM(P66:P75)))*Q74/SUM(Q$66:Q$75)),0)</x:f>
        <x:v>0</x:v>
      </x:c>
      <x:c r="S74" s="20" t="n">
        <x:f>IF(I74-(L74+N74+P74+R74)&gt;0.000000001,J74,0)</x:f>
        <x:v>0</x:v>
      </x:c>
      <x:c r="T74" s="24" t="n">
        <x:f>IF(SUM(S$66:S$75)&gt;0,MIN(MAX(0,I74-(L74+N74+P74+R74)),MAX(0,'Расчет'!C45-(SUM(L66:L75)+SUM(N66:N75)+SUM(P66:P75)+SUM(R66:R75)))*S74/SUM(S$66:S$75)),0)</x:f>
        <x:v>0</x:v>
      </x:c>
      <x:c r="U74" s="20" t="n">
        <x:f>SUM(L74,N74,P74,R74,T74)</x:f>
        <x:v>0</x:v>
      </x:c>
      <x:c r="V74" s="20" t="n">
        <x:f>0</x:f>
        <x:v>0</x:v>
      </x:c>
      <x:c r="W74" s="20" t="n">
        <x:f>0</x:f>
        <x:v>0</x:v>
      </x:c>
      <x:c r="X74" s="20" t="n">
        <x:f>G74</x:f>
        <x:v>0</x:v>
      </x:c>
      <x:c r="Y74" s="20" t="n">
        <x:f>H74+U74</x:f>
        <x:v>0</x:v>
      </x:c>
      <x:c r="Z74" s="20" t="n">
        <x:f>G74-V74</x:f>
        <x:v>0</x:v>
      </x:c>
      <x:c r="AA74" s="20" t="n">
        <x:f>Y74-W74</x:f>
        <x:v>0</x:v>
      </x:c>
      <x:c r="AB74" s="20" t="n">
        <x:f>Z74-AA74</x:f>
        <x:v>0</x:v>
      </x:c>
    </x:row>
    <x:row r="75" ht="21" customHeight="1">
      <x:c r="A75" s="2" t="str">
        <x:v>Бизнес</x:v>
      </x:c>
      <x:c r="B75" s="12" t="n">
        <x:v>2027</x:v>
      </x:c>
      <x:c r="C75" s="12" t="n">
        <x:v>2035</x:v>
      </x:c>
      <x:c r="D75" s="20" t="n">
        <x:f>Z65</x:f>
        <x:v>0</x:v>
      </x:c>
      <x:c r="E75" s="20" t="n">
        <x:f>AA65</x:f>
        <x:v>0</x:v>
      </x:c>
      <x:c r="F75" s="20" t="n">
        <x:f>0</x:f>
        <x:v>0</x:v>
      </x:c>
      <x:c r="G75" s="20" t="n">
        <x:f>D75+F75</x:f>
        <x:v>0</x:v>
      </x:c>
      <x:c r="H75" s="20" t="n">
        <x:f>E75</x:f>
        <x:v>0</x:v>
      </x:c>
      <x:c r="I75" s="20" t="n">
        <x:f>MAX(0,G75-H75)</x:f>
        <x:v>0</x:v>
      </x:c>
      <x:c r="J75" s="39" t="n">
        <x:f>0</x:f>
        <x:v>0</x:v>
      </x:c>
      <x:c r="K75" s="39" t="n">
        <x:f>IF(I75-(0)&gt;0.000000001,J75,0)</x:f>
        <x:v>0</x:v>
      </x:c>
      <x:c r="L75" s="24" t="n">
        <x:f>IF(SUM(K$66:K$75)&gt;0,MIN(MAX(0,I75-(0)),MAX(0,'Расчет'!C45-(0))*K75/SUM(K$66:K$75)),0)</x:f>
        <x:v>0</x:v>
      </x:c>
      <x:c r="M75" s="20" t="n">
        <x:f>IF(I75-(L75)&gt;0.000000001,J75,0)</x:f>
        <x:v>0</x:v>
      </x:c>
      <x:c r="N75" s="24" t="n">
        <x:f>IF(SUM(M$66:M$75)&gt;0,MIN(MAX(0,I75-(L75)),MAX(0,'Расчет'!C45-(SUM(L66:L75)))*M75/SUM(M$66:M$75)),0)</x:f>
        <x:v>0</x:v>
      </x:c>
      <x:c r="O75" s="20" t="n">
        <x:f>IF(I75-(L75+N75)&gt;0.000000001,J75,0)</x:f>
        <x:v>0</x:v>
      </x:c>
      <x:c r="P75" s="24" t="n">
        <x:f>IF(SUM(O$66:O$75)&gt;0,MIN(MAX(0,I75-(L75+N75)),MAX(0,'Расчет'!C45-(SUM(L66:L75)+SUM(N66:N75)))*O75/SUM(O$66:O$75)),0)</x:f>
        <x:v>0</x:v>
      </x:c>
      <x:c r="Q75" s="20" t="n">
        <x:f>IF(I75-(L75+N75+P75)&gt;0.000000001,J75,0)</x:f>
        <x:v>0</x:v>
      </x:c>
      <x:c r="R75" s="24" t="n">
        <x:f>IF(SUM(Q$66:Q$75)&gt;0,MIN(MAX(0,I75-(L75+N75+P75)),MAX(0,'Расчет'!C45-(SUM(L66:L75)+SUM(N66:N75)+SUM(P66:P75)))*Q75/SUM(Q$66:Q$75)),0)</x:f>
        <x:v>0</x:v>
      </x:c>
      <x:c r="S75" s="20" t="n">
        <x:f>IF(I75-(L75+N75+P75+R75)&gt;0.000000001,J75,0)</x:f>
        <x:v>0</x:v>
      </x:c>
      <x:c r="T75" s="24" t="n">
        <x:f>IF(SUM(S$66:S$75)&gt;0,MIN(MAX(0,I75-(L75+N75+P75+R75)),MAX(0,'Расчет'!C45-(SUM(L66:L75)+SUM(N66:N75)+SUM(P66:P75)+SUM(R66:R75)))*S75/SUM(S$66:S$75)),0)</x:f>
        <x:v>0</x:v>
      </x:c>
      <x:c r="U75" s="20" t="n">
        <x:f>SUM(L75,N75,P75,R75,T75)</x:f>
        <x:v>0</x:v>
      </x:c>
      <x:c r="V75" s="20" t="n">
        <x:f>0</x:f>
        <x:v>0</x:v>
      </x:c>
      <x:c r="W75" s="20" t="n">
        <x:f>0</x:f>
        <x:v>0</x:v>
      </x:c>
      <x:c r="X75" s="20" t="n">
        <x:f>G75</x:f>
        <x:v>0</x:v>
      </x:c>
      <x:c r="Y75" s="20" t="n">
        <x:f>H75+U75</x:f>
        <x:v>0</x:v>
      </x:c>
      <x:c r="Z75" s="20" t="n">
        <x:f>G75-V75</x:f>
        <x:v>0</x:v>
      </x:c>
      <x:c r="AA75" s="20" t="n">
        <x:f>Y75-W75</x:f>
        <x:v>0</x:v>
      </x:c>
      <x:c r="AB75" s="20" t="n">
        <x:f>Z75-AA75</x:f>
        <x:v>0</x:v>
      </x:c>
    </x:row>
    <x:row r="76" ht="21" customHeight="1">
      <x:c r="A76" s="2" t="str">
        <x:v>Бизнес</x:v>
      </x:c>
      <x:c r="B76" s="12" t="n">
        <x:v>2028</x:v>
      </x:c>
      <x:c r="C76" s="12" t="n">
        <x:v>2026</x:v>
      </x:c>
      <x:c r="D76" s="20" t="n">
        <x:f>0</x:f>
        <x:v>0</x:v>
      </x:c>
      <x:c r="E76" s="20" t="n">
        <x:f>0</x:f>
        <x:v>0</x:v>
      </x:c>
      <x:c r="F76" s="20" t="n">
        <x:f>0</x:f>
        <x:v>0</x:v>
      </x:c>
      <x:c r="G76" s="20" t="n">
        <x:f>D76+F76</x:f>
        <x:v>0</x:v>
      </x:c>
      <x:c r="H76" s="20" t="n">
        <x:f>E76</x:f>
        <x:v>0</x:v>
      </x:c>
      <x:c r="I76" s="20" t="n">
        <x:f>MAX(0,G76-H76)</x:f>
        <x:v>0</x:v>
      </x:c>
      <x:c r="J76" s="39" t="n">
        <x:f>0</x:f>
        <x:v>0</x:v>
      </x:c>
      <x:c r="K76" s="39" t="n">
        <x:f>IF(I76-(0)&gt;0.000000001,J76,0)</x:f>
        <x:v>0</x:v>
      </x:c>
      <x:c r="L76" s="24" t="n">
        <x:f>IF(SUM(K$76:K$85)&gt;0,MIN(MAX(0,I76-(0)),MAX(0,'Расчет'!D45-(0))*K76/SUM(K$76:K$85)),0)</x:f>
        <x:v>0</x:v>
      </x:c>
      <x:c r="M76" s="20" t="n">
        <x:f>IF(I76-(L76)&gt;0.000000001,J76,0)</x:f>
        <x:v>0</x:v>
      </x:c>
      <x:c r="N76" s="24" t="n">
        <x:f>IF(SUM(M$76:M$85)&gt;0,MIN(MAX(0,I76-(L76)),MAX(0,'Расчет'!D45-(SUM(L76:L85)))*M76/SUM(M$76:M$85)),0)</x:f>
        <x:v>0</x:v>
      </x:c>
      <x:c r="O76" s="20" t="n">
        <x:f>IF(I76-(L76+N76)&gt;0.000000001,J76,0)</x:f>
        <x:v>0</x:v>
      </x:c>
      <x:c r="P76" s="24" t="n">
        <x:f>IF(SUM(O$76:O$85)&gt;0,MIN(MAX(0,I76-(L76+N76)),MAX(0,'Расчет'!D45-(SUM(L76:L85)+SUM(N76:N85)))*O76/SUM(O$76:O$85)),0)</x:f>
        <x:v>0</x:v>
      </x:c>
      <x:c r="Q76" s="20" t="n">
        <x:f>IF(I76-(L76+N76+P76)&gt;0.000000001,J76,0)</x:f>
        <x:v>0</x:v>
      </x:c>
      <x:c r="R76" s="24" t="n">
        <x:f>IF(SUM(Q$76:Q$85)&gt;0,MIN(MAX(0,I76-(L76+N76+P76)),MAX(0,'Расчет'!D45-(SUM(L76:L85)+SUM(N76:N85)+SUM(P76:P85)))*Q76/SUM(Q$76:Q$85)),0)</x:f>
        <x:v>0</x:v>
      </x:c>
      <x:c r="S76" s="20" t="n">
        <x:f>IF(I76-(L76+N76+P76+R76)&gt;0.000000001,J76,0)</x:f>
        <x:v>0</x:v>
      </x:c>
      <x:c r="T76" s="24" t="n">
        <x:f>IF(SUM(S$76:S$85)&gt;0,MIN(MAX(0,I76-(L76+N76+P76+R76)),MAX(0,'Расчет'!D45-(SUM(L76:L85)+SUM(N76:N85)+SUM(P76:P85)+SUM(R76:R85)))*S76/SUM(S$76:S$85)),0)</x:f>
        <x:v>0</x:v>
      </x:c>
      <x:c r="U76" s="20" t="n">
        <x:f>SUM(L76,N76,P76,R76,T76)</x:f>
        <x:v>0</x:v>
      </x:c>
      <x:c r="V76" s="20" t="n">
        <x:f>0</x:f>
        <x:v>0</x:v>
      </x:c>
      <x:c r="W76" s="20" t="n">
        <x:f>0</x:f>
        <x:v>0</x:v>
      </x:c>
      <x:c r="X76" s="20" t="n">
        <x:f>G76</x:f>
        <x:v>0</x:v>
      </x:c>
      <x:c r="Y76" s="20" t="n">
        <x:f>H76+U76</x:f>
        <x:v>0</x:v>
      </x:c>
      <x:c r="Z76" s="20" t="n">
        <x:f>G76-V76</x:f>
        <x:v>0</x:v>
      </x:c>
      <x:c r="AA76" s="20" t="n">
        <x:f>Y76-W76</x:f>
        <x:v>0</x:v>
      </x:c>
      <x:c r="AB76" s="20" t="n">
        <x:f>Z76-AA76</x:f>
        <x:v>0</x:v>
      </x:c>
    </x:row>
    <x:row r="77" ht="21" customHeight="1">
      <x:c r="A77" s="2" t="str">
        <x:v>Бизнес</x:v>
      </x:c>
      <x:c r="B77" s="12" t="n">
        <x:v>2028</x:v>
      </x:c>
      <x:c r="C77" s="12" t="n">
        <x:v>2027</x:v>
      </x:c>
      <x:c r="D77" s="20" t="n">
        <x:f>0</x:f>
        <x:v>0</x:v>
      </x:c>
      <x:c r="E77" s="20" t="n">
        <x:f>0</x:f>
        <x:v>0</x:v>
      </x:c>
      <x:c r="F77" s="20" t="n">
        <x:f>0</x:f>
        <x:v>0</x:v>
      </x:c>
      <x:c r="G77" s="20" t="n">
        <x:f>D77+F77</x:f>
        <x:v>0</x:v>
      </x:c>
      <x:c r="H77" s="20" t="n">
        <x:f>E77</x:f>
        <x:v>0</x:v>
      </x:c>
      <x:c r="I77" s="20" t="n">
        <x:f>MAX(0,G77-H77)</x:f>
        <x:v>0</x:v>
      </x:c>
      <x:c r="J77" s="39" t="n">
        <x:f>0</x:f>
        <x:v>0</x:v>
      </x:c>
      <x:c r="K77" s="39" t="n">
        <x:f>IF(I77-(0)&gt;0.000000001,J77,0)</x:f>
        <x:v>0</x:v>
      </x:c>
      <x:c r="L77" s="24" t="n">
        <x:f>IF(SUM(K$76:K$85)&gt;0,MIN(MAX(0,I77-(0)),MAX(0,'Расчет'!D45-(0))*K77/SUM(K$76:K$85)),0)</x:f>
        <x:v>0</x:v>
      </x:c>
      <x:c r="M77" s="20" t="n">
        <x:f>IF(I77-(L77)&gt;0.000000001,J77,0)</x:f>
        <x:v>0</x:v>
      </x:c>
      <x:c r="N77" s="24" t="n">
        <x:f>IF(SUM(M$76:M$85)&gt;0,MIN(MAX(0,I77-(L77)),MAX(0,'Расчет'!D45-(SUM(L76:L85)))*M77/SUM(M$76:M$85)),0)</x:f>
        <x:v>0</x:v>
      </x:c>
      <x:c r="O77" s="20" t="n">
        <x:f>IF(I77-(L77+N77)&gt;0.000000001,J77,0)</x:f>
        <x:v>0</x:v>
      </x:c>
      <x:c r="P77" s="24" t="n">
        <x:f>IF(SUM(O$76:O$85)&gt;0,MIN(MAX(0,I77-(L77+N77)),MAX(0,'Расчет'!D45-(SUM(L76:L85)+SUM(N76:N85)))*O77/SUM(O$76:O$85)),0)</x:f>
        <x:v>0</x:v>
      </x:c>
      <x:c r="Q77" s="20" t="n">
        <x:f>IF(I77-(L77+N77+P77)&gt;0.000000001,J77,0)</x:f>
        <x:v>0</x:v>
      </x:c>
      <x:c r="R77" s="24" t="n">
        <x:f>IF(SUM(Q$76:Q$85)&gt;0,MIN(MAX(0,I77-(L77+N77+P77)),MAX(0,'Расчет'!D45-(SUM(L76:L85)+SUM(N76:N85)+SUM(P76:P85)))*Q77/SUM(Q$76:Q$85)),0)</x:f>
        <x:v>0</x:v>
      </x:c>
      <x:c r="S77" s="20" t="n">
        <x:f>IF(I77-(L77+N77+P77+R77)&gt;0.000000001,J77,0)</x:f>
        <x:v>0</x:v>
      </x:c>
      <x:c r="T77" s="24" t="n">
        <x:f>IF(SUM(S$76:S$85)&gt;0,MIN(MAX(0,I77-(L77+N77+P77+R77)),MAX(0,'Расчет'!D45-(SUM(L76:L85)+SUM(N76:N85)+SUM(P76:P85)+SUM(R76:R85)))*S77/SUM(S$76:S$85)),0)</x:f>
        <x:v>0</x:v>
      </x:c>
      <x:c r="U77" s="20" t="n">
        <x:f>SUM(L77,N77,P77,R77,T77)</x:f>
        <x:v>0</x:v>
      </x:c>
      <x:c r="V77" s="20" t="n">
        <x:f>0</x:f>
        <x:v>0</x:v>
      </x:c>
      <x:c r="W77" s="20" t="n">
        <x:f>0</x:f>
        <x:v>0</x:v>
      </x:c>
      <x:c r="X77" s="20" t="n">
        <x:f>G77</x:f>
        <x:v>0</x:v>
      </x:c>
      <x:c r="Y77" s="20" t="n">
        <x:f>H77+U77</x:f>
        <x:v>0</x:v>
      </x:c>
      <x:c r="Z77" s="20" t="n">
        <x:f>G77-V77</x:f>
        <x:v>0</x:v>
      </x:c>
      <x:c r="AA77" s="20" t="n">
        <x:f>Y77-W77</x:f>
        <x:v>0</x:v>
      </x:c>
      <x:c r="AB77" s="20" t="n">
        <x:f>Z77-AA77</x:f>
        <x:v>0</x:v>
      </x:c>
    </x:row>
    <x:row r="78" ht="21" customHeight="1">
      <x:c r="A78" s="2" t="str">
        <x:v>Бизнес</x:v>
      </x:c>
      <x:c r="B78" s="12" t="n">
        <x:v>2028</x:v>
      </x:c>
      <x:c r="C78" s="12" t="n">
        <x:v>2028</x:v>
      </x:c>
      <x:c r="D78" s="20" t="n">
        <x:f>Z68+Z67</x:f>
        <x:v>1887.5002136320797</x:v>
      </x:c>
      <x:c r="E78" s="20" t="n">
        <x:f>AA68+AA67</x:f>
        <x:v>1299.845998991831</x:v>
      </x:c>
      <x:c r="F78" s="24" t="n">
        <x:f>'Расчет'!D36*'Допущения'!B25</x:f>
        <x:v>0</x:v>
      </x:c>
      <x:c r="G78" s="20" t="n">
        <x:f>D78+F78</x:f>
        <x:v>1887.5002136320797</x:v>
      </x:c>
      <x:c r="H78" s="20" t="n">
        <x:f>E78</x:f>
        <x:v>1299.845998991831</x:v>
      </x:c>
      <x:c r="I78" s="20" t="n">
        <x:f>MAX(0,G78-H78)</x:f>
        <x:v>587.6542146402487</x:v>
      </x:c>
      <x:c r="J78" s="38" t="n">
        <x:f>'Допущения'!B30</x:f>
        <x:v>0.1357</x:v>
      </x:c>
      <x:c r="K78" s="39" t="n">
        <x:f>IF(I78-(0)&gt;0.000000001,J78,0)</x:f>
        <x:v>0.1357</x:v>
      </x:c>
      <x:c r="L78" s="24" t="n">
        <x:f>IF(SUM(K$76:K$85)&gt;0,MIN(MAX(0,I78-(0)),MAX(0,'Расчет'!D45-(0))*K78/SUM(K$76:K$85)),0)</x:f>
        <x:v>168.23074756747883</x:v>
      </x:c>
      <x:c r="M78" s="20" t="n">
        <x:f>IF(I78-(L78)&gt;0.000000001,J78,0)</x:f>
        <x:v>0.1357</x:v>
      </x:c>
      <x:c r="N78" s="24" t="n">
        <x:f>IF(SUM(M$76:M$85)&gt;0,MIN(MAX(0,I78-(L78)),MAX(0,'Расчет'!D45-(SUM(L76:L85)))*M78/SUM(M$76:M$85)),0)</x:f>
        <x:v>3.085460775764659e-14</x:v>
      </x:c>
      <x:c r="O78" s="20" t="n">
        <x:f>IF(I78-(L78+N78)&gt;0.000000001,J78,0)</x:f>
        <x:v>0.1357</x:v>
      </x:c>
      <x:c r="P78" s="24" t="n">
        <x:f>IF(SUM(O$76:O$85)&gt;0,MIN(MAX(0,I78-(L78+N78)),MAX(0,'Расчет'!D45-(SUM(L76:L85)+SUM(N76:N85)))*O78/SUM(O$76:O$85)),0)</x:f>
        <x:v>0</x:v>
      </x:c>
      <x:c r="Q78" s="20" t="n">
        <x:f>IF(I78-(L78+N78+P78)&gt;0.000000001,J78,0)</x:f>
        <x:v>0.1357</x:v>
      </x:c>
      <x:c r="R78" s="24" t="n">
        <x:f>IF(SUM(Q$76:Q$85)&gt;0,MIN(MAX(0,I78-(L78+N78+P78)),MAX(0,'Расчет'!D45-(SUM(L76:L85)+SUM(N76:N85)+SUM(P76:P85)))*Q78/SUM(Q$76:Q$85)),0)</x:f>
        <x:v>0</x:v>
      </x:c>
      <x:c r="S78" s="20" t="n">
        <x:f>IF(I78-(L78+N78+P78+R78)&gt;0.000000001,J78,0)</x:f>
        <x:v>0.1357</x:v>
      </x:c>
      <x:c r="T78" s="24" t="n">
        <x:f>IF(SUM(S$76:S$85)&gt;0,MIN(MAX(0,I78-(L78+N78+P78+R78)),MAX(0,'Расчет'!D45-(SUM(L76:L85)+SUM(N76:N85)+SUM(P76:P85)+SUM(R76:R85)))*S78/SUM(S$76:S$85)),0)</x:f>
        <x:v>0</x:v>
      </x:c>
      <x:c r="U78" s="20" t="n">
        <x:f>SUM(L78,N78,P78,R78,T78)</x:f>
        <x:v>168.23074756747886</x:v>
      </x:c>
      <x:c r="V78" s="24" t="n">
        <x:f>G78*(1-'Допущения'!D7)</x:f>
        <x:v>1698.7501922688718</x:v>
      </x:c>
      <x:c r="W78" s="24" t="n">
        <x:f>Y78*(1-'Допущения'!D7)</x:f>
        <x:v>1321.269071903379</x:v>
      </x:c>
      <x:c r="X78" s="20" t="n">
        <x:f>G78</x:f>
        <x:v>1887.5002136320797</x:v>
      </x:c>
      <x:c r="Y78" s="20" t="n">
        <x:f>H78+U78</x:f>
        <x:v>1468.0767465593099</x:v>
      </x:c>
      <x:c r="Z78" s="20" t="n">
        <x:f>G78-V78</x:f>
        <x:v>188.7500213632079</x:v>
      </x:c>
      <x:c r="AA78" s="20" t="n">
        <x:f>Y78-W78</x:f>
        <x:v>146.8076746559309</x:v>
      </x:c>
      <x:c r="AB78" s="20" t="n">
        <x:f>Z78-AA78</x:f>
        <x:v>41.94234670727701</x:v>
      </x:c>
    </x:row>
    <x:row r="79" ht="21" customHeight="1">
      <x:c r="A79" s="2" t="str">
        <x:v>Бизнес</x:v>
      </x:c>
      <x:c r="B79" s="12" t="n">
        <x:v>2028</x:v>
      </x:c>
      <x:c r="C79" s="12" t="n">
        <x:v>2029</x:v>
      </x:c>
      <x:c r="D79" s="20" t="n">
        <x:f>Z69</x:f>
        <x:v>1183.958079504233</x:v>
      </x:c>
      <x:c r="E79" s="20" t="n">
        <x:f>AA69</x:f>
        <x:v>588.1035705074908</x:v>
      </x:c>
      <x:c r="F79" s="24" t="n">
        <x:f>'Расчет'!D36*'Допущения'!C25</x:f>
        <x:v>11.263728032775354</x:v>
      </x:c>
      <x:c r="G79" s="20" t="n">
        <x:f>D79+F79</x:f>
        <x:v>1195.2218075370083</x:v>
      </x:c>
      <x:c r="H79" s="20" t="n">
        <x:f>E79</x:f>
        <x:v>588.1035705074908</x:v>
      </x:c>
      <x:c r="I79" s="20" t="n">
        <x:f>MAX(0,G79-H79)</x:f>
        <x:v>607.1182370295176</x:v>
      </x:c>
      <x:c r="J79" s="38" t="n">
        <x:f>'Допущения'!C30</x:f>
        <x:v>0.3612</x:v>
      </x:c>
      <x:c r="K79" s="39" t="n">
        <x:f>IF(I79-(0)&gt;0.000000001,J79,0)</x:f>
        <x:v>0.3612</x:v>
      </x:c>
      <x:c r="L79" s="24" t="n">
        <x:f>IF(SUM(K$76:K$85)&gt;0,MIN(MAX(0,I79-(0)),MAX(0,'Расчет'!D45-(0))*K79/SUM(K$76:K$85)),0)</x:f>
        <x:v>447.78884319361356</x:v>
      </x:c>
      <x:c r="M79" s="20" t="n">
        <x:f>IF(I79-(L79)&gt;0.000000001,J79,0)</x:f>
        <x:v>0.3612</x:v>
      </x:c>
      <x:c r="N79" s="24" t="n">
        <x:f>IF(SUM(M$76:M$85)&gt;0,MIN(MAX(0,I79-(L79)),MAX(0,'Расчет'!D45-(SUM(L76:L85)))*M79/SUM(M$76:M$85)),0)</x:f>
        <x:v>8.212737157009542e-14</x:v>
      </x:c>
      <x:c r="O79" s="20" t="n">
        <x:f>IF(I79-(L79+N79)&gt;0.000000001,J79,0)</x:f>
        <x:v>0.3612</x:v>
      </x:c>
      <x:c r="P79" s="24" t="n">
        <x:f>IF(SUM(O$76:O$85)&gt;0,MIN(MAX(0,I79-(L79+N79)),MAX(0,'Расчет'!D45-(SUM(L76:L85)+SUM(N76:N85)))*O79/SUM(O$76:O$85)),0)</x:f>
        <x:v>0</x:v>
      </x:c>
      <x:c r="Q79" s="20" t="n">
        <x:f>IF(I79-(L79+N79+P79)&gt;0.000000001,J79,0)</x:f>
        <x:v>0.3612</x:v>
      </x:c>
      <x:c r="R79" s="24" t="n">
        <x:f>IF(SUM(Q$76:Q$85)&gt;0,MIN(MAX(0,I79-(L79+N79+P79)),MAX(0,'Расчет'!D45-(SUM(L76:L85)+SUM(N76:N85)+SUM(P76:P85)))*Q79/SUM(Q$76:Q$85)),0)</x:f>
        <x:v>0</x:v>
      </x:c>
      <x:c r="S79" s="20" t="n">
        <x:f>IF(I79-(L79+N79+P79+R79)&gt;0.000000001,J79,0)</x:f>
        <x:v>0.3612</x:v>
      </x:c>
      <x:c r="T79" s="24" t="n">
        <x:f>IF(SUM(S$76:S$85)&gt;0,MIN(MAX(0,I79-(L79+N79+P79+R79)),MAX(0,'Расчет'!D45-(SUM(L76:L85)+SUM(N76:N85)+SUM(P76:P85)+SUM(R76:R85)))*S79/SUM(S$76:S$85)),0)</x:f>
        <x:v>0</x:v>
      </x:c>
      <x:c r="U79" s="20" t="n">
        <x:f>SUM(L79,N79,P79,R79,T79)</x:f>
        <x:v>447.7888431936136</x:v>
      </x:c>
      <x:c r="V79" s="20" t="n">
        <x:f>0</x:f>
        <x:v>0</x:v>
      </x:c>
      <x:c r="W79" s="20" t="n">
        <x:f>0</x:f>
        <x:v>0</x:v>
      </x:c>
      <x:c r="X79" s="20" t="n">
        <x:f>G79</x:f>
        <x:v>1195.2218075370083</x:v>
      </x:c>
      <x:c r="Y79" s="20" t="n">
        <x:f>H79+U79</x:f>
        <x:v>1035.8924137011045</x:v>
      </x:c>
      <x:c r="Z79" s="20" t="n">
        <x:f>G79-V79</x:f>
        <x:v>1195.2218075370083</x:v>
      </x:c>
      <x:c r="AA79" s="20" t="n">
        <x:f>Y79-W79</x:f>
        <x:v>1035.8924137011045</x:v>
      </x:c>
      <x:c r="AB79" s="20" t="n">
        <x:f>Z79-AA79</x:f>
        <x:v>159.32939383590383</x:v>
      </x:c>
    </x:row>
    <x:row r="80" ht="21" customHeight="1">
      <x:c r="A80" s="2" t="str">
        <x:v>Бизнес</x:v>
      </x:c>
      <x:c r="B80" s="12" t="n">
        <x:v>2028</x:v>
      </x:c>
      <x:c r="C80" s="12" t="n">
        <x:v>2030</x:v>
      </x:c>
      <x:c r="D80" s="20" t="n">
        <x:f>Z70</x:f>
        <x:v>765.0920634841289</x:v>
      </x:c>
      <x:c r="E80" s="20" t="n">
        <x:f>AA70</x:f>
        <x:v>170.92461706447335</x:v>
      </x:c>
      <x:c r="F80" s="24" t="n">
        <x:f>'Расчет'!D36*'Допущения'!D25</x:f>
        <x:v>66.79531533560767</x:v>
      </x:c>
      <x:c r="G80" s="20" t="n">
        <x:f>D80+F80</x:f>
        <x:v>831.8873788197366</x:v>
      </x:c>
      <x:c r="H80" s="20" t="n">
        <x:f>E80</x:f>
        <x:v>170.92461706447335</x:v>
      </x:c>
      <x:c r="I80" s="20" t="n">
        <x:f>MAX(0,G80-H80)</x:f>
        <x:v>660.9627617552633</x:v>
      </x:c>
      <x:c r="J80" s="38" t="n">
        <x:f>'Допущения'!D30</x:f>
        <x:v>0.3111</x:v>
      </x:c>
      <x:c r="K80" s="39" t="n">
        <x:f>IF(I80-(0)&gt;0.000000001,J80,0)</x:f>
        <x:v>0.3111</x:v>
      </x:c>
      <x:c r="L80" s="24" t="n">
        <x:f>IF(SUM(K$76:K$85)&gt;0,MIN(MAX(0,I80-(0)),MAX(0,'Расчет'!D45-(0))*K80/SUM(K$76:K$85)),0)</x:f>
        <x:v>385.6785966709113</x:v>
      </x:c>
      <x:c r="M80" s="20" t="n">
        <x:f>IF(I80-(L80)&gt;0.000000001,J80,0)</x:f>
        <x:v>0.3111</x:v>
      </x:c>
      <x:c r="N80" s="24" t="n">
        <x:f>IF(SUM(M$76:M$85)&gt;0,MIN(MAX(0,I80-(L80)),MAX(0,'Расчет'!D45-(SUM(L76:L85)))*M80/SUM(M$76:M$85)),0)</x:f>
        <x:v>7.073595043038949e-14</x:v>
      </x:c>
      <x:c r="O80" s="20" t="n">
        <x:f>IF(I80-(L80+N80)&gt;0.000000001,J80,0)</x:f>
        <x:v>0.3111</x:v>
      </x:c>
      <x:c r="P80" s="24" t="n">
        <x:f>IF(SUM(O$76:O$85)&gt;0,MIN(MAX(0,I80-(L80+N80)),MAX(0,'Расчет'!D45-(SUM(L76:L85)+SUM(N76:N85)))*O80/SUM(O$76:O$85)),0)</x:f>
        <x:v>0</x:v>
      </x:c>
      <x:c r="Q80" s="20" t="n">
        <x:f>IF(I80-(L80+N80+P80)&gt;0.000000001,J80,0)</x:f>
        <x:v>0.3111</x:v>
      </x:c>
      <x:c r="R80" s="24" t="n">
        <x:f>IF(SUM(Q$76:Q$85)&gt;0,MIN(MAX(0,I80-(L80+N80+P80)),MAX(0,'Расчет'!D45-(SUM(L76:L85)+SUM(N76:N85)+SUM(P76:P85)))*Q80/SUM(Q$76:Q$85)),0)</x:f>
        <x:v>0</x:v>
      </x:c>
      <x:c r="S80" s="20" t="n">
        <x:f>IF(I80-(L80+N80+P80+R80)&gt;0.000000001,J80,0)</x:f>
        <x:v>0.3111</x:v>
      </x:c>
      <x:c r="T80" s="24" t="n">
        <x:f>IF(SUM(S$76:S$85)&gt;0,MIN(MAX(0,I80-(L80+N80+P80+R80)),MAX(0,'Расчет'!D45-(SUM(L76:L85)+SUM(N76:N85)+SUM(P76:P85)+SUM(R76:R85)))*S80/SUM(S$76:S$85)),0)</x:f>
        <x:v>0</x:v>
      </x:c>
      <x:c r="U80" s="20" t="n">
        <x:f>SUM(L80,N80,P80,R80,T80)</x:f>
        <x:v>385.67859667091136</x:v>
      </x:c>
      <x:c r="V80" s="20" t="n">
        <x:f>0</x:f>
        <x:v>0</x:v>
      </x:c>
      <x:c r="W80" s="20" t="n">
        <x:f>0</x:f>
        <x:v>0</x:v>
      </x:c>
      <x:c r="X80" s="20" t="n">
        <x:f>G80</x:f>
        <x:v>831.8873788197366</x:v>
      </x:c>
      <x:c r="Y80" s="20" t="n">
        <x:f>H80+U80</x:f>
        <x:v>556.6032137353848</x:v>
      </x:c>
      <x:c r="Z80" s="20" t="n">
        <x:f>G80-V80</x:f>
        <x:v>831.8873788197366</x:v>
      </x:c>
      <x:c r="AA80" s="20" t="n">
        <x:f>Y80-W80</x:f>
        <x:v>556.6032137353848</x:v>
      </x:c>
      <x:c r="AB80" s="20" t="n">
        <x:f>Z80-AA80</x:f>
        <x:v>275.2841650843518</x:v>
      </x:c>
    </x:row>
    <x:row r="81" ht="21" customHeight="1">
      <x:c r="A81" s="2" t="str">
        <x:v>Бизнес</x:v>
      </x:c>
      <x:c r="B81" s="12" t="n">
        <x:v>2028</x:v>
      </x:c>
      <x:c r="C81" s="12" t="n">
        <x:v>2031</x:v>
      </x:c>
      <x:c r="D81" s="20" t="n">
        <x:f>Z71</x:f>
        <x:v>599.4112738190338</x:v>
      </x:c>
      <x:c r="E81" s="20" t="n">
        <x:f>AA71</x:f>
        <x:v>45.60361914681957</x:v>
      </x:c>
      <x:c r="F81" s="24" t="n">
        <x:f>'Расчет'!D36*'Допущения'!E25</x:f>
        <x:v>368.44678707719993</x:v>
      </x:c>
      <x:c r="G81" s="20" t="n">
        <x:f>D81+F81</x:f>
        <x:v>967.8580608962337</x:v>
      </x:c>
      <x:c r="H81" s="20" t="n">
        <x:f>E81</x:f>
        <x:v>45.60361914681957</x:v>
      </x:c>
      <x:c r="I81" s="20" t="n">
        <x:f>MAX(0,G81-H81)</x:f>
        <x:v>922.2544417494141</x:v>
      </x:c>
      <x:c r="J81" s="38" t="n">
        <x:f>'Допущения'!E30</x:f>
        <x:v>0.1495</x:v>
      </x:c>
      <x:c r="K81" s="39" t="n">
        <x:f>IF(I81-(0)&gt;0.000000001,J81,0)</x:f>
        <x:v>0.1495</x:v>
      </x:c>
      <x:c r="L81" s="24" t="n">
        <x:f>IF(SUM(K$76:K$85)&gt;0,MIN(MAX(0,I81-(0)),MAX(0,'Расчет'!D45-(0))*K81/SUM(K$76:K$85)),0)</x:f>
        <x:v>185.33895918451057</x:v>
      </x:c>
      <x:c r="M81" s="20" t="n">
        <x:f>IF(I81-(L81)&gt;0.000000001,J81,0)</x:f>
        <x:v>0.1495</x:v>
      </x:c>
      <x:c r="N81" s="24" t="n">
        <x:f>IF(SUM(M$76:M$85)&gt;0,MIN(MAX(0,I81-(L81)),MAX(0,'Расчет'!D45-(SUM(L76:L85)))*M81/SUM(M$76:M$85)),0)</x:f>
        <x:v>3.399236447876319e-14</x:v>
      </x:c>
      <x:c r="O81" s="20" t="n">
        <x:f>IF(I81-(L81+N81)&gt;0.000000001,J81,0)</x:f>
        <x:v>0.1495</x:v>
      </x:c>
      <x:c r="P81" s="24" t="n">
        <x:f>IF(SUM(O$76:O$85)&gt;0,MIN(MAX(0,I81-(L81+N81)),MAX(0,'Расчет'!D45-(SUM(L76:L85)+SUM(N76:N85)))*O81/SUM(O$76:O$85)),0)</x:f>
        <x:v>0</x:v>
      </x:c>
      <x:c r="Q81" s="20" t="n">
        <x:f>IF(I81-(L81+N81+P81)&gt;0.000000001,J81,0)</x:f>
        <x:v>0.1495</x:v>
      </x:c>
      <x:c r="R81" s="24" t="n">
        <x:f>IF(SUM(Q$76:Q$85)&gt;0,MIN(MAX(0,I81-(L81+N81+P81)),MAX(0,'Расчет'!D45-(SUM(L76:L85)+SUM(N76:N85)+SUM(P76:P85)))*Q81/SUM(Q$76:Q$85)),0)</x:f>
        <x:v>0</x:v>
      </x:c>
      <x:c r="S81" s="20" t="n">
        <x:f>IF(I81-(L81+N81+P81+R81)&gt;0.000000001,J81,0)</x:f>
        <x:v>0.1495</x:v>
      </x:c>
      <x:c r="T81" s="24" t="n">
        <x:f>IF(SUM(S$76:S$85)&gt;0,MIN(MAX(0,I81-(L81+N81+P81+R81)),MAX(0,'Расчет'!D45-(SUM(L76:L85)+SUM(N76:N85)+SUM(P76:P85)+SUM(R76:R85)))*S81/SUM(S$76:S$85)),0)</x:f>
        <x:v>0</x:v>
      </x:c>
      <x:c r="U81" s="20" t="n">
        <x:f>SUM(L81,N81,P81,R81,T81)</x:f>
        <x:v>185.3389591845106</x:v>
      </x:c>
      <x:c r="V81" s="20" t="n">
        <x:f>0</x:f>
        <x:v>0</x:v>
      </x:c>
      <x:c r="W81" s="20" t="n">
        <x:f>0</x:f>
        <x:v>0</x:v>
      </x:c>
      <x:c r="X81" s="20" t="n">
        <x:f>G81</x:f>
        <x:v>967.8580608962337</x:v>
      </x:c>
      <x:c r="Y81" s="20" t="n">
        <x:f>H81+U81</x:f>
        <x:v>230.94257833133017</x:v>
      </x:c>
      <x:c r="Z81" s="20" t="n">
        <x:f>G81-V81</x:f>
        <x:v>967.8580608962337</x:v>
      </x:c>
      <x:c r="AA81" s="20" t="n">
        <x:f>Y81-W81</x:f>
        <x:v>230.94257833133017</x:v>
      </x:c>
      <x:c r="AB81" s="20" t="n">
        <x:f>Z81-AA81</x:f>
        <x:v>736.9154825649035</x:v>
      </x:c>
    </x:row>
    <x:row r="82" ht="21" customHeight="1">
      <x:c r="A82" s="2" t="str">
        <x:v>Бизнес</x:v>
      </x:c>
      <x:c r="B82" s="12" t="n">
        <x:v>2028</x:v>
      </x:c>
      <x:c r="C82" s="12" t="n">
        <x:v>2032</x:v>
      </x:c>
      <x:c r="D82" s="20" t="n">
        <x:f>Z72</x:f>
        <x:v>41.47545955970333</x:v>
      </x:c>
      <x:c r="E82" s="20" t="n">
        <x:f>AA72</x:f>
        <x:v>0</x:v>
      </x:c>
      <x:c r="F82" s="24" t="n">
        <x:f>'Расчет'!D36*'Допущения'!F25</x:f>
        <x:v>624.7505976462888</x:v>
      </x:c>
      <x:c r="G82" s="20" t="n">
        <x:f>D82+F82</x:f>
        <x:v>666.2260572059922</x:v>
      </x:c>
      <x:c r="H82" s="20" t="n">
        <x:f>E82</x:f>
        <x:v>0</x:v>
      </x:c>
      <x:c r="I82" s="20" t="n">
        <x:f>MAX(0,G82-H82)</x:f>
        <x:v>666.2260572059922</x:v>
      </x:c>
      <x:c r="J82" s="38" t="n">
        <x:f>'Допущения'!F30</x:f>
        <x:v>0.0425</x:v>
      </x:c>
      <x:c r="K82" s="39" t="n">
        <x:f>IF(I82-(0)&gt;0.000000001,J82,0)</x:f>
        <x:v>0.0425</x:v>
      </x:c>
      <x:c r="L82" s="24" t="n">
        <x:f>IF(SUM(K$76:K$85)&gt;0,MIN(MAX(0,I82-(0)),MAX(0,'Расчет'!D45-(0))*K82/SUM(K$76:K$85)),0)</x:f>
        <x:v>52.6883328785398</x:v>
      </x:c>
      <x:c r="M82" s="20" t="n">
        <x:f>IF(I82-(L82)&gt;0.000000001,J82,0)</x:f>
        <x:v>0.0425</x:v>
      </x:c>
      <x:c r="N82" s="24" t="n">
        <x:f>IF(SUM(M$76:M$85)&gt;0,MIN(MAX(0,I82-(L82)),MAX(0,'Расчет'!D45-(SUM(L76:L85)))*M82/SUM(M$76:M$85)),0)</x:f>
        <x:v>9.663381206337363e-15</x:v>
      </x:c>
      <x:c r="O82" s="20" t="n">
        <x:f>IF(I82-(L82+N82)&gt;0.000000001,J82,0)</x:f>
        <x:v>0.0425</x:v>
      </x:c>
      <x:c r="P82" s="24" t="n">
        <x:f>IF(SUM(O$76:O$85)&gt;0,MIN(MAX(0,I82-(L82+N82)),MAX(0,'Расчет'!D45-(SUM(L76:L85)+SUM(N76:N85)))*O82/SUM(O$76:O$85)),0)</x:f>
        <x:v>0</x:v>
      </x:c>
      <x:c r="Q82" s="20" t="n">
        <x:f>IF(I82-(L82+N82+P82)&gt;0.000000001,J82,0)</x:f>
        <x:v>0.0425</x:v>
      </x:c>
      <x:c r="R82" s="24" t="n">
        <x:f>IF(SUM(Q$76:Q$85)&gt;0,MIN(MAX(0,I82-(L82+N82+P82)),MAX(0,'Расчет'!D45-(SUM(L76:L85)+SUM(N76:N85)+SUM(P76:P85)))*Q82/SUM(Q$76:Q$85)),0)</x:f>
        <x:v>0</x:v>
      </x:c>
      <x:c r="S82" s="20" t="n">
        <x:f>IF(I82-(L82+N82+P82+R82)&gt;0.000000001,J82,0)</x:f>
        <x:v>0.0425</x:v>
      </x:c>
      <x:c r="T82" s="24" t="n">
        <x:f>IF(SUM(S$76:S$85)&gt;0,MIN(MAX(0,I82-(L82+N82+P82+R82)),MAX(0,'Расчет'!D45-(SUM(L76:L85)+SUM(N76:N85)+SUM(P76:P85)+SUM(R76:R85)))*S82/SUM(S$76:S$85)),0)</x:f>
        <x:v>0</x:v>
      </x:c>
      <x:c r="U82" s="20" t="n">
        <x:f>SUM(L82,N82,P82,R82,T82)</x:f>
        <x:v>52.68833287853981</x:v>
      </x:c>
      <x:c r="V82" s="20" t="n">
        <x:f>0</x:f>
        <x:v>0</x:v>
      </x:c>
      <x:c r="W82" s="20" t="n">
        <x:f>0</x:f>
        <x:v>0</x:v>
      </x:c>
      <x:c r="X82" s="20" t="n">
        <x:f>G82</x:f>
        <x:v>666.2260572059922</x:v>
      </x:c>
      <x:c r="Y82" s="20" t="n">
        <x:f>H82+U82</x:f>
        <x:v>52.68833287853981</x:v>
      </x:c>
      <x:c r="Z82" s="20" t="n">
        <x:f>G82-V82</x:f>
        <x:v>666.2260572059922</x:v>
      </x:c>
      <x:c r="AA82" s="20" t="n">
        <x:f>Y82-W82</x:f>
        <x:v>52.68833287853981</x:v>
      </x:c>
      <x:c r="AB82" s="20" t="n">
        <x:f>Z82-AA82</x:f>
        <x:v>613.5377243274525</x:v>
      </x:c>
    </x:row>
    <x:row r="83" ht="21" customHeight="1">
      <x:c r="A83" s="2" t="str">
        <x:v>Бизнес</x:v>
      </x:c>
      <x:c r="B83" s="12" t="n">
        <x:v>2028</x:v>
      </x:c>
      <x:c r="C83" s="12" t="n">
        <x:v>2033</x:v>
      </x:c>
      <x:c r="D83" s="20" t="n">
        <x:f>Z73</x:f>
        <x:v>0</x:v>
      </x:c>
      <x:c r="E83" s="20" t="n">
        <x:f>AA73</x:f>
        <x:v>0</x:v>
      </x:c>
      <x:c r="F83" s="24" t="n">
        <x:f>'Расчет'!D36*'Допущения'!G25</x:f>
        <x:v>46.783893534016414</x:v>
      </x:c>
      <x:c r="G83" s="20" t="n">
        <x:f>D83+F83</x:f>
        <x:v>46.783893534016414</x:v>
      </x:c>
      <x:c r="H83" s="20" t="n">
        <x:f>E83</x:f>
        <x:v>0</x:v>
      </x:c>
      <x:c r="I83" s="20" t="n">
        <x:f>MAX(0,G83-H83)</x:f>
        <x:v>46.783893534016414</x:v>
      </x:c>
      <x:c r="J83" s="39" t="n">
        <x:f>0</x:f>
        <x:v>0</x:v>
      </x:c>
      <x:c r="K83" s="39" t="n">
        <x:f>IF(I83-(0)&gt;0.000000001,J83,0)</x:f>
        <x:v>0</x:v>
      </x:c>
      <x:c r="L83" s="24" t="n">
        <x:f>IF(SUM(K$76:K$85)&gt;0,MIN(MAX(0,I83-(0)),MAX(0,'Расчет'!D45-(0))*K83/SUM(K$76:K$85)),0)</x:f>
        <x:v>0</x:v>
      </x:c>
      <x:c r="M83" s="20" t="n">
        <x:f>IF(I83-(L83)&gt;0.000000001,J83,0)</x:f>
        <x:v>0</x:v>
      </x:c>
      <x:c r="N83" s="24" t="n">
        <x:f>IF(SUM(M$76:M$85)&gt;0,MIN(MAX(0,I83-(L83)),MAX(0,'Расчет'!D45-(SUM(L76:L85)))*M83/SUM(M$76:M$85)),0)</x:f>
        <x:v>0</x:v>
      </x:c>
      <x:c r="O83" s="20" t="n">
        <x:f>IF(I83-(L83+N83)&gt;0.000000001,J83,0)</x:f>
        <x:v>0</x:v>
      </x:c>
      <x:c r="P83" s="24" t="n">
        <x:f>IF(SUM(O$76:O$85)&gt;0,MIN(MAX(0,I83-(L83+N83)),MAX(0,'Расчет'!D45-(SUM(L76:L85)+SUM(N76:N85)))*O83/SUM(O$76:O$85)),0)</x:f>
        <x:v>0</x:v>
      </x:c>
      <x:c r="Q83" s="20" t="n">
        <x:f>IF(I83-(L83+N83+P83)&gt;0.000000001,J83,0)</x:f>
        <x:v>0</x:v>
      </x:c>
      <x:c r="R83" s="24" t="n">
        <x:f>IF(SUM(Q$76:Q$85)&gt;0,MIN(MAX(0,I83-(L83+N83+P83)),MAX(0,'Расчет'!D45-(SUM(L76:L85)+SUM(N76:N85)+SUM(P76:P85)))*Q83/SUM(Q$76:Q$85)),0)</x:f>
        <x:v>0</x:v>
      </x:c>
      <x:c r="S83" s="20" t="n">
        <x:f>IF(I83-(L83+N83+P83+R83)&gt;0.000000001,J83,0)</x:f>
        <x:v>0</x:v>
      </x:c>
      <x:c r="T83" s="24" t="n">
        <x:f>IF(SUM(S$76:S$85)&gt;0,MIN(MAX(0,I83-(L83+N83+P83+R83)),MAX(0,'Расчет'!D45-(SUM(L76:L85)+SUM(N76:N85)+SUM(P76:P85)+SUM(R76:R85)))*S83/SUM(S$76:S$85)),0)</x:f>
        <x:v>0</x:v>
      </x:c>
      <x:c r="U83" s="20" t="n">
        <x:f>SUM(L83,N83,P83,R83,T83)</x:f>
        <x:v>0</x:v>
      </x:c>
      <x:c r="V83" s="20" t="n">
        <x:f>0</x:f>
        <x:v>0</x:v>
      </x:c>
      <x:c r="W83" s="20" t="n">
        <x:f>0</x:f>
        <x:v>0</x:v>
      </x:c>
      <x:c r="X83" s="20" t="n">
        <x:f>G83</x:f>
        <x:v>46.783893534016414</x:v>
      </x:c>
      <x:c r="Y83" s="20" t="n">
        <x:f>H83+U83</x:f>
        <x:v>0</x:v>
      </x:c>
      <x:c r="Z83" s="20" t="n">
        <x:f>G83-V83</x:f>
        <x:v>46.783893534016414</x:v>
      </x:c>
      <x:c r="AA83" s="20" t="n">
        <x:f>Y83-W83</x:f>
        <x:v>0</x:v>
      </x:c>
      <x:c r="AB83" s="20" t="n">
        <x:f>Z83-AA83</x:f>
        <x:v>46.783893534016414</x:v>
      </x:c>
    </x:row>
    <x:row r="84" ht="21" customHeight="1">
      <x:c r="A84" s="2" t="str">
        <x:v>Бизнес</x:v>
      </x:c>
      <x:c r="B84" s="12" t="n">
        <x:v>2028</x:v>
      </x:c>
      <x:c r="C84" s="12" t="n">
        <x:v>2034</x:v>
      </x:c>
      <x:c r="D84" s="20" t="n">
        <x:f>Z74</x:f>
        <x:v>0</x:v>
      </x:c>
      <x:c r="E84" s="20" t="n">
        <x:f>AA74</x:f>
        <x:v>0</x:v>
      </x:c>
      <x:c r="F84" s="20" t="n">
        <x:f>0</x:f>
        <x:v>0</x:v>
      </x:c>
      <x:c r="G84" s="20" t="n">
        <x:f>D84+F84</x:f>
        <x:v>0</x:v>
      </x:c>
      <x:c r="H84" s="20" t="n">
        <x:f>E84</x:f>
        <x:v>0</x:v>
      </x:c>
      <x:c r="I84" s="20" t="n">
        <x:f>MAX(0,G84-H84)</x:f>
        <x:v>0</x:v>
      </x:c>
      <x:c r="J84" s="39" t="n">
        <x:f>0</x:f>
        <x:v>0</x:v>
      </x:c>
      <x:c r="K84" s="39" t="n">
        <x:f>IF(I84-(0)&gt;0.000000001,J84,0)</x:f>
        <x:v>0</x:v>
      </x:c>
      <x:c r="L84" s="24" t="n">
        <x:f>IF(SUM(K$76:K$85)&gt;0,MIN(MAX(0,I84-(0)),MAX(0,'Расчет'!D45-(0))*K84/SUM(K$76:K$85)),0)</x:f>
        <x:v>0</x:v>
      </x:c>
      <x:c r="M84" s="20" t="n">
        <x:f>IF(I84-(L84)&gt;0.000000001,J84,0)</x:f>
        <x:v>0</x:v>
      </x:c>
      <x:c r="N84" s="24" t="n">
        <x:f>IF(SUM(M$76:M$85)&gt;0,MIN(MAX(0,I84-(L84)),MAX(0,'Расчет'!D45-(SUM(L76:L85)))*M84/SUM(M$76:M$85)),0)</x:f>
        <x:v>0</x:v>
      </x:c>
      <x:c r="O84" s="20" t="n">
        <x:f>IF(I84-(L84+N84)&gt;0.000000001,J84,0)</x:f>
        <x:v>0</x:v>
      </x:c>
      <x:c r="P84" s="24" t="n">
        <x:f>IF(SUM(O$76:O$85)&gt;0,MIN(MAX(0,I84-(L84+N84)),MAX(0,'Расчет'!D45-(SUM(L76:L85)+SUM(N76:N85)))*O84/SUM(O$76:O$85)),0)</x:f>
        <x:v>0</x:v>
      </x:c>
      <x:c r="Q84" s="20" t="n">
        <x:f>IF(I84-(L84+N84+P84)&gt;0.000000001,J84,0)</x:f>
        <x:v>0</x:v>
      </x:c>
      <x:c r="R84" s="24" t="n">
        <x:f>IF(SUM(Q$76:Q$85)&gt;0,MIN(MAX(0,I84-(L84+N84+P84)),MAX(0,'Расчет'!D45-(SUM(L76:L85)+SUM(N76:N85)+SUM(P76:P85)))*Q84/SUM(Q$76:Q$85)),0)</x:f>
        <x:v>0</x:v>
      </x:c>
      <x:c r="S84" s="20" t="n">
        <x:f>IF(I84-(L84+N84+P84+R84)&gt;0.000000001,J84,0)</x:f>
        <x:v>0</x:v>
      </x:c>
      <x:c r="T84" s="24" t="n">
        <x:f>IF(SUM(S$76:S$85)&gt;0,MIN(MAX(0,I84-(L84+N84+P84+R84)),MAX(0,'Расчет'!D45-(SUM(L76:L85)+SUM(N76:N85)+SUM(P76:P85)+SUM(R76:R85)))*S84/SUM(S$76:S$85)),0)</x:f>
        <x:v>0</x:v>
      </x:c>
      <x:c r="U84" s="20" t="n">
        <x:f>SUM(L84,N84,P84,R84,T84)</x:f>
        <x:v>0</x:v>
      </x:c>
      <x:c r="V84" s="20" t="n">
        <x:f>0</x:f>
        <x:v>0</x:v>
      </x:c>
      <x:c r="W84" s="20" t="n">
        <x:f>0</x:f>
        <x:v>0</x:v>
      </x:c>
      <x:c r="X84" s="20" t="n">
        <x:f>G84</x:f>
        <x:v>0</x:v>
      </x:c>
      <x:c r="Y84" s="20" t="n">
        <x:f>H84+U84</x:f>
        <x:v>0</x:v>
      </x:c>
      <x:c r="Z84" s="20" t="n">
        <x:f>G84-V84</x:f>
        <x:v>0</x:v>
      </x:c>
      <x:c r="AA84" s="20" t="n">
        <x:f>Y84-W84</x:f>
        <x:v>0</x:v>
      </x:c>
      <x:c r="AB84" s="20" t="n">
        <x:f>Z84-AA84</x:f>
        <x:v>0</x:v>
      </x:c>
    </x:row>
    <x:row r="85" ht="21" customHeight="1">
      <x:c r="A85" s="2" t="str">
        <x:v>Бизнес</x:v>
      </x:c>
      <x:c r="B85" s="12" t="n">
        <x:v>2028</x:v>
      </x:c>
      <x:c r="C85" s="12" t="n">
        <x:v>2035</x:v>
      </x:c>
      <x:c r="D85" s="20" t="n">
        <x:f>Z75</x:f>
        <x:v>0</x:v>
      </x:c>
      <x:c r="E85" s="20" t="n">
        <x:f>AA75</x:f>
        <x:v>0</x:v>
      </x:c>
      <x:c r="F85" s="20" t="n">
        <x:f>0</x:f>
        <x:v>0</x:v>
      </x:c>
      <x:c r="G85" s="20" t="n">
        <x:f>D85+F85</x:f>
        <x:v>0</x:v>
      </x:c>
      <x:c r="H85" s="20" t="n">
        <x:f>E85</x:f>
        <x:v>0</x:v>
      </x:c>
      <x:c r="I85" s="20" t="n">
        <x:f>MAX(0,G85-H85)</x:f>
        <x:v>0</x:v>
      </x:c>
      <x:c r="J85" s="39" t="n">
        <x:f>0</x:f>
        <x:v>0</x:v>
      </x:c>
      <x:c r="K85" s="39" t="n">
        <x:f>IF(I85-(0)&gt;0.000000001,J85,0)</x:f>
        <x:v>0</x:v>
      </x:c>
      <x:c r="L85" s="24" t="n">
        <x:f>IF(SUM(K$76:K$85)&gt;0,MIN(MAX(0,I85-(0)),MAX(0,'Расчет'!D45-(0))*K85/SUM(K$76:K$85)),0)</x:f>
        <x:v>0</x:v>
      </x:c>
      <x:c r="M85" s="20" t="n">
        <x:f>IF(I85-(L85)&gt;0.000000001,J85,0)</x:f>
        <x:v>0</x:v>
      </x:c>
      <x:c r="N85" s="24" t="n">
        <x:f>IF(SUM(M$76:M$85)&gt;0,MIN(MAX(0,I85-(L85)),MAX(0,'Расчет'!D45-(SUM(L76:L85)))*M85/SUM(M$76:M$85)),0)</x:f>
        <x:v>0</x:v>
      </x:c>
      <x:c r="O85" s="20" t="n">
        <x:f>IF(I85-(L85+N85)&gt;0.000000001,J85,0)</x:f>
        <x:v>0</x:v>
      </x:c>
      <x:c r="P85" s="24" t="n">
        <x:f>IF(SUM(O$76:O$85)&gt;0,MIN(MAX(0,I85-(L85+N85)),MAX(0,'Расчет'!D45-(SUM(L76:L85)+SUM(N76:N85)))*O85/SUM(O$76:O$85)),0)</x:f>
        <x:v>0</x:v>
      </x:c>
      <x:c r="Q85" s="20" t="n">
        <x:f>IF(I85-(L85+N85+P85)&gt;0.000000001,J85,0)</x:f>
        <x:v>0</x:v>
      </x:c>
      <x:c r="R85" s="24" t="n">
        <x:f>IF(SUM(Q$76:Q$85)&gt;0,MIN(MAX(0,I85-(L85+N85+P85)),MAX(0,'Расчет'!D45-(SUM(L76:L85)+SUM(N76:N85)+SUM(P76:P85)))*Q85/SUM(Q$76:Q$85)),0)</x:f>
        <x:v>0</x:v>
      </x:c>
      <x:c r="S85" s="20" t="n">
        <x:f>IF(I85-(L85+N85+P85+R85)&gt;0.000000001,J85,0)</x:f>
        <x:v>0</x:v>
      </x:c>
      <x:c r="T85" s="24" t="n">
        <x:f>IF(SUM(S$76:S$85)&gt;0,MIN(MAX(0,I85-(L85+N85+P85+R85)),MAX(0,'Расчет'!D45-(SUM(L76:L85)+SUM(N76:N85)+SUM(P76:P85)+SUM(R76:R85)))*S85/SUM(S$76:S$85)),0)</x:f>
        <x:v>0</x:v>
      </x:c>
      <x:c r="U85" s="20" t="n">
        <x:f>SUM(L85,N85,P85,R85,T85)</x:f>
        <x:v>0</x:v>
      </x:c>
      <x:c r="V85" s="20" t="n">
        <x:f>0</x:f>
        <x:v>0</x:v>
      </x:c>
      <x:c r="W85" s="20" t="n">
        <x:f>0</x:f>
        <x:v>0</x:v>
      </x:c>
      <x:c r="X85" s="20" t="n">
        <x:f>G85</x:f>
        <x:v>0</x:v>
      </x:c>
      <x:c r="Y85" s="20" t="n">
        <x:f>H85+U85</x:f>
        <x:v>0</x:v>
      </x:c>
      <x:c r="Z85" s="20" t="n">
        <x:f>G85-V85</x:f>
        <x:v>0</x:v>
      </x:c>
      <x:c r="AA85" s="20" t="n">
        <x:f>Y85-W85</x:f>
        <x:v>0</x:v>
      </x:c>
      <x:c r="AB85" s="20" t="n">
        <x:f>Z85-AA85</x:f>
        <x:v>0</x:v>
      </x:c>
    </x:row>
    <x:row r="86" ht="21" customHeight="1">
      <x:c r="A86" s="2" t="str">
        <x:v>Бизнес</x:v>
      </x:c>
      <x:c r="B86" s="12" t="n">
        <x:v>2029</x:v>
      </x:c>
      <x:c r="C86" s="12" t="n">
        <x:v>2026</x:v>
      </x:c>
      <x:c r="D86" s="20" t="n">
        <x:f>0</x:f>
        <x:v>0</x:v>
      </x:c>
      <x:c r="E86" s="20" t="n">
        <x:f>0</x:f>
        <x:v>0</x:v>
      </x:c>
      <x:c r="F86" s="20" t="n">
        <x:f>0</x:f>
        <x:v>0</x:v>
      </x:c>
      <x:c r="G86" s="20" t="n">
        <x:f>D86+F86</x:f>
        <x:v>0</x:v>
      </x:c>
      <x:c r="H86" s="20" t="n">
        <x:f>E86</x:f>
        <x:v>0</x:v>
      </x:c>
      <x:c r="I86" s="20" t="n">
        <x:f>MAX(0,G86-H86)</x:f>
        <x:v>0</x:v>
      </x:c>
      <x:c r="J86" s="39" t="n">
        <x:f>0</x:f>
        <x:v>0</x:v>
      </x:c>
      <x:c r="K86" s="39" t="n">
        <x:f>IF(I86-(0)&gt;0.000000001,J86,0)</x:f>
        <x:v>0</x:v>
      </x:c>
      <x:c r="L86" s="24" t="n">
        <x:f>IF(SUM(K$86:K$95)&gt;0,MIN(MAX(0,I86-(0)),MAX(0,'Расчет'!E45-(0))*K86/SUM(K$86:K$95)),0)</x:f>
        <x:v>0</x:v>
      </x:c>
      <x:c r="M86" s="20" t="n">
        <x:f>IF(I86-(L86)&gt;0.000000001,J86,0)</x:f>
        <x:v>0</x:v>
      </x:c>
      <x:c r="N86" s="24" t="n">
        <x:f>IF(SUM(M$86:M$95)&gt;0,MIN(MAX(0,I86-(L86)),MAX(0,'Расчет'!E45-(SUM(L86:L95)))*M86/SUM(M$86:M$95)),0)</x:f>
        <x:v>0</x:v>
      </x:c>
      <x:c r="O86" s="20" t="n">
        <x:f>IF(I86-(L86+N86)&gt;0.000000001,J86,0)</x:f>
        <x:v>0</x:v>
      </x:c>
      <x:c r="P86" s="24" t="n">
        <x:f>IF(SUM(O$86:O$95)&gt;0,MIN(MAX(0,I86-(L86+N86)),MAX(0,'Расчет'!E45-(SUM(L86:L95)+SUM(N86:N95)))*O86/SUM(O$86:O$95)),0)</x:f>
        <x:v>0</x:v>
      </x:c>
      <x:c r="Q86" s="20" t="n">
        <x:f>IF(I86-(L86+N86+P86)&gt;0.000000001,J86,0)</x:f>
        <x:v>0</x:v>
      </x:c>
      <x:c r="R86" s="24" t="n">
        <x:f>IF(SUM(Q$86:Q$95)&gt;0,MIN(MAX(0,I86-(L86+N86+P86)),MAX(0,'Расчет'!E45-(SUM(L86:L95)+SUM(N86:N95)+SUM(P86:P95)))*Q86/SUM(Q$86:Q$95)),0)</x:f>
        <x:v>0</x:v>
      </x:c>
      <x:c r="S86" s="20" t="n">
        <x:f>IF(I86-(L86+N86+P86+R86)&gt;0.000000001,J86,0)</x:f>
        <x:v>0</x:v>
      </x:c>
      <x:c r="T86" s="24" t="n">
        <x:f>IF(SUM(S$86:S$95)&gt;0,MIN(MAX(0,I86-(L86+N86+P86+R86)),MAX(0,'Расчет'!E45-(SUM(L86:L95)+SUM(N86:N95)+SUM(P86:P95)+SUM(R86:R95)))*S86/SUM(S$86:S$95)),0)</x:f>
        <x:v>0</x:v>
      </x:c>
      <x:c r="U86" s="20" t="n">
        <x:f>SUM(L86,N86,P86,R86,T86)</x:f>
        <x:v>0</x:v>
      </x:c>
      <x:c r="V86" s="20" t="n">
        <x:f>0</x:f>
        <x:v>0</x:v>
      </x:c>
      <x:c r="W86" s="20" t="n">
        <x:f>0</x:f>
        <x:v>0</x:v>
      </x:c>
      <x:c r="X86" s="20" t="n">
        <x:f>G86</x:f>
        <x:v>0</x:v>
      </x:c>
      <x:c r="Y86" s="20" t="n">
        <x:f>H86+U86</x:f>
        <x:v>0</x:v>
      </x:c>
      <x:c r="Z86" s="20" t="n">
        <x:f>G86-V86</x:f>
        <x:v>0</x:v>
      </x:c>
      <x:c r="AA86" s="20" t="n">
        <x:f>Y86-W86</x:f>
        <x:v>0</x:v>
      </x:c>
      <x:c r="AB86" s="20" t="n">
        <x:f>Z86-AA86</x:f>
        <x:v>0</x:v>
      </x:c>
    </x:row>
    <x:row r="87" ht="21" customHeight="1">
      <x:c r="A87" s="2" t="str">
        <x:v>Бизнес</x:v>
      </x:c>
      <x:c r="B87" s="12" t="n">
        <x:v>2029</x:v>
      </x:c>
      <x:c r="C87" s="12" t="n">
        <x:v>2027</x:v>
      </x:c>
      <x:c r="D87" s="20" t="n">
        <x:f>0</x:f>
        <x:v>0</x:v>
      </x:c>
      <x:c r="E87" s="20" t="n">
        <x:f>0</x:f>
        <x:v>0</x:v>
      </x:c>
      <x:c r="F87" s="20" t="n">
        <x:f>0</x:f>
        <x:v>0</x:v>
      </x:c>
      <x:c r="G87" s="20" t="n">
        <x:f>D87+F87</x:f>
        <x:v>0</x:v>
      </x:c>
      <x:c r="H87" s="20" t="n">
        <x:f>E87</x:f>
        <x:v>0</x:v>
      </x:c>
      <x:c r="I87" s="20" t="n">
        <x:f>MAX(0,G87-H87)</x:f>
        <x:v>0</x:v>
      </x:c>
      <x:c r="J87" s="39" t="n">
        <x:f>0</x:f>
        <x:v>0</x:v>
      </x:c>
      <x:c r="K87" s="39" t="n">
        <x:f>IF(I87-(0)&gt;0.000000001,J87,0)</x:f>
        <x:v>0</x:v>
      </x:c>
      <x:c r="L87" s="24" t="n">
        <x:f>IF(SUM(K$86:K$95)&gt;0,MIN(MAX(0,I87-(0)),MAX(0,'Расчет'!E45-(0))*K87/SUM(K$86:K$95)),0)</x:f>
        <x:v>0</x:v>
      </x:c>
      <x:c r="M87" s="20" t="n">
        <x:f>IF(I87-(L87)&gt;0.000000001,J87,0)</x:f>
        <x:v>0</x:v>
      </x:c>
      <x:c r="N87" s="24" t="n">
        <x:f>IF(SUM(M$86:M$95)&gt;0,MIN(MAX(0,I87-(L87)),MAX(0,'Расчет'!E45-(SUM(L86:L95)))*M87/SUM(M$86:M$95)),0)</x:f>
        <x:v>0</x:v>
      </x:c>
      <x:c r="O87" s="20" t="n">
        <x:f>IF(I87-(L87+N87)&gt;0.000000001,J87,0)</x:f>
        <x:v>0</x:v>
      </x:c>
      <x:c r="P87" s="24" t="n">
        <x:f>IF(SUM(O$86:O$95)&gt;0,MIN(MAX(0,I87-(L87+N87)),MAX(0,'Расчет'!E45-(SUM(L86:L95)+SUM(N86:N95)))*O87/SUM(O$86:O$95)),0)</x:f>
        <x:v>0</x:v>
      </x:c>
      <x:c r="Q87" s="20" t="n">
        <x:f>IF(I87-(L87+N87+P87)&gt;0.000000001,J87,0)</x:f>
        <x:v>0</x:v>
      </x:c>
      <x:c r="R87" s="24" t="n">
        <x:f>IF(SUM(Q$86:Q$95)&gt;0,MIN(MAX(0,I87-(L87+N87+P87)),MAX(0,'Расчет'!E45-(SUM(L86:L95)+SUM(N86:N95)+SUM(P86:P95)))*Q87/SUM(Q$86:Q$95)),0)</x:f>
        <x:v>0</x:v>
      </x:c>
      <x:c r="S87" s="20" t="n">
        <x:f>IF(I87-(L87+N87+P87+R87)&gt;0.000000001,J87,0)</x:f>
        <x:v>0</x:v>
      </x:c>
      <x:c r="T87" s="24" t="n">
        <x:f>IF(SUM(S$86:S$95)&gt;0,MIN(MAX(0,I87-(L87+N87+P87+R87)),MAX(0,'Расчет'!E45-(SUM(L86:L95)+SUM(N86:N95)+SUM(P86:P95)+SUM(R86:R95)))*S87/SUM(S$86:S$95)),0)</x:f>
        <x:v>0</x:v>
      </x:c>
      <x:c r="U87" s="20" t="n">
        <x:f>SUM(L87,N87,P87,R87,T87)</x:f>
        <x:v>0</x:v>
      </x:c>
      <x:c r="V87" s="20" t="n">
        <x:f>0</x:f>
        <x:v>0</x:v>
      </x:c>
      <x:c r="W87" s="20" t="n">
        <x:f>0</x:f>
        <x:v>0</x:v>
      </x:c>
      <x:c r="X87" s="20" t="n">
        <x:f>G87</x:f>
        <x:v>0</x:v>
      </x:c>
      <x:c r="Y87" s="20" t="n">
        <x:f>H87+U87</x:f>
        <x:v>0</x:v>
      </x:c>
      <x:c r="Z87" s="20" t="n">
        <x:f>G87-V87</x:f>
        <x:v>0</x:v>
      </x:c>
      <x:c r="AA87" s="20" t="n">
        <x:f>Y87-W87</x:f>
        <x:v>0</x:v>
      </x:c>
      <x:c r="AB87" s="20" t="n">
        <x:f>Z87-AA87</x:f>
        <x:v>0</x:v>
      </x:c>
    </x:row>
    <x:row r="88" ht="21" customHeight="1">
      <x:c r="A88" s="2" t="str">
        <x:v>Бизнес</x:v>
      </x:c>
      <x:c r="B88" s="12" t="n">
        <x:v>2029</x:v>
      </x:c>
      <x:c r="C88" s="12" t="n">
        <x:v>2028</x:v>
      </x:c>
      <x:c r="D88" s="20" t="n">
        <x:f>0</x:f>
        <x:v>0</x:v>
      </x:c>
      <x:c r="E88" s="20" t="n">
        <x:f>0</x:f>
        <x:v>0</x:v>
      </x:c>
      <x:c r="F88" s="20" t="n">
        <x:f>0</x:f>
        <x:v>0</x:v>
      </x:c>
      <x:c r="G88" s="20" t="n">
        <x:f>D88+F88</x:f>
        <x:v>0</x:v>
      </x:c>
      <x:c r="H88" s="20" t="n">
        <x:f>E88</x:f>
        <x:v>0</x:v>
      </x:c>
      <x:c r="I88" s="20" t="n">
        <x:f>MAX(0,G88-H88)</x:f>
        <x:v>0</x:v>
      </x:c>
      <x:c r="J88" s="39" t="n">
        <x:f>0</x:f>
        <x:v>0</x:v>
      </x:c>
      <x:c r="K88" s="39" t="n">
        <x:f>IF(I88-(0)&gt;0.000000001,J88,0)</x:f>
        <x:v>0</x:v>
      </x:c>
      <x:c r="L88" s="24" t="n">
        <x:f>IF(SUM(K$86:K$95)&gt;0,MIN(MAX(0,I88-(0)),MAX(0,'Расчет'!E45-(0))*K88/SUM(K$86:K$95)),0)</x:f>
        <x:v>0</x:v>
      </x:c>
      <x:c r="M88" s="20" t="n">
        <x:f>IF(I88-(L88)&gt;0.000000001,J88,0)</x:f>
        <x:v>0</x:v>
      </x:c>
      <x:c r="N88" s="24" t="n">
        <x:f>IF(SUM(M$86:M$95)&gt;0,MIN(MAX(0,I88-(L88)),MAX(0,'Расчет'!E45-(SUM(L86:L95)))*M88/SUM(M$86:M$95)),0)</x:f>
        <x:v>0</x:v>
      </x:c>
      <x:c r="O88" s="20" t="n">
        <x:f>IF(I88-(L88+N88)&gt;0.000000001,J88,0)</x:f>
        <x:v>0</x:v>
      </x:c>
      <x:c r="P88" s="24" t="n">
        <x:f>IF(SUM(O$86:O$95)&gt;0,MIN(MAX(0,I88-(L88+N88)),MAX(0,'Расчет'!E45-(SUM(L86:L95)+SUM(N86:N95)))*O88/SUM(O$86:O$95)),0)</x:f>
        <x:v>0</x:v>
      </x:c>
      <x:c r="Q88" s="20" t="n">
        <x:f>IF(I88-(L88+N88+P88)&gt;0.000000001,J88,0)</x:f>
        <x:v>0</x:v>
      </x:c>
      <x:c r="R88" s="24" t="n">
        <x:f>IF(SUM(Q$86:Q$95)&gt;0,MIN(MAX(0,I88-(L88+N88+P88)),MAX(0,'Расчет'!E45-(SUM(L86:L95)+SUM(N86:N95)+SUM(P86:P95)))*Q88/SUM(Q$86:Q$95)),0)</x:f>
        <x:v>0</x:v>
      </x:c>
      <x:c r="S88" s="20" t="n">
        <x:f>IF(I88-(L88+N88+P88+R88)&gt;0.000000001,J88,0)</x:f>
        <x:v>0</x:v>
      </x:c>
      <x:c r="T88" s="24" t="n">
        <x:f>IF(SUM(S$86:S$95)&gt;0,MIN(MAX(0,I88-(L88+N88+P88+R88)),MAX(0,'Расчет'!E45-(SUM(L86:L95)+SUM(N86:N95)+SUM(P86:P95)+SUM(R86:R95)))*S88/SUM(S$86:S$95)),0)</x:f>
        <x:v>0</x:v>
      </x:c>
      <x:c r="U88" s="20" t="n">
        <x:f>SUM(L88,N88,P88,R88,T88)</x:f>
        <x:v>0</x:v>
      </x:c>
      <x:c r="V88" s="20" t="n">
        <x:f>0</x:f>
        <x:v>0</x:v>
      </x:c>
      <x:c r="W88" s="20" t="n">
        <x:f>0</x:f>
        <x:v>0</x:v>
      </x:c>
      <x:c r="X88" s="20" t="n">
        <x:f>G88</x:f>
        <x:v>0</x:v>
      </x:c>
      <x:c r="Y88" s="20" t="n">
        <x:f>H88+U88</x:f>
        <x:v>0</x:v>
      </x:c>
      <x:c r="Z88" s="20" t="n">
        <x:f>G88-V88</x:f>
        <x:v>0</x:v>
      </x:c>
      <x:c r="AA88" s="20" t="n">
        <x:f>Y88-W88</x:f>
        <x:v>0</x:v>
      </x:c>
      <x:c r="AB88" s="20" t="n">
        <x:f>Z88-AA88</x:f>
        <x:v>0</x:v>
      </x:c>
    </x:row>
    <x:row r="89" ht="21" customHeight="1">
      <x:c r="A89" s="2" t="str">
        <x:v>Бизнес</x:v>
      </x:c>
      <x:c r="B89" s="12" t="n">
        <x:v>2029</x:v>
      </x:c>
      <x:c r="C89" s="12" t="n">
        <x:v>2029</x:v>
      </x:c>
      <x:c r="D89" s="20" t="n">
        <x:f>Z79+Z78</x:f>
        <x:v>1383.9718289002162</x:v>
      </x:c>
      <x:c r="E89" s="20" t="n">
        <x:f>AA79+AA78</x:f>
        <x:v>1182.7000883570354</x:v>
      </x:c>
      <x:c r="F89" s="24" t="n">
        <x:f>'Расчет'!E36*'Допущения'!B25</x:f>
        <x:v>0</x:v>
      </x:c>
      <x:c r="G89" s="20" t="n">
        <x:f>D89+F89</x:f>
        <x:v>1383.9718289002162</x:v>
      </x:c>
      <x:c r="H89" s="20" t="n">
        <x:f>E89</x:f>
        <x:v>1182.7000883570354</x:v>
      </x:c>
      <x:c r="I89" s="20" t="n">
        <x:f>MAX(0,G89-H89)</x:f>
        <x:v>201.27174054318084</x:v>
      </x:c>
      <x:c r="J89" s="38" t="n">
        <x:f>'Допущения'!B30</x:f>
        <x:v>0.1357</x:v>
      </x:c>
      <x:c r="K89" s="39" t="n">
        <x:f>IF(I89-(0)&gt;0.000000001,J89,0)</x:f>
        <x:v>0.1357</x:v>
      </x:c>
      <x:c r="L89" s="24" t="n">
        <x:f>IF(SUM(K$86:K$95)&gt;0,MIN(MAX(0,I89-(0)),MAX(0,'Расчет'!E45-(0))*K89/SUM(K$86:K$95)),0)</x:f>
        <x:v>176.64381047368002</x:v>
      </x:c>
      <x:c r="M89" s="20" t="n">
        <x:f>IF(I89-(L89)&gt;0.000000001,J89,0)</x:f>
        <x:v>0.1357</x:v>
      </x:c>
      <x:c r="N89" s="24" t="n">
        <x:f>IF(SUM(M$86:M$95)&gt;0,MIN(MAX(0,I89-(L89)),MAX(0,'Расчет'!E45-(SUM(L86:L95)))*M89/SUM(M$86:M$95)),0)</x:f>
        <x:v>24.62793006950082</x:v>
      </x:c>
      <x:c r="O89" s="20" t="n">
        <x:f>IF(I89-(L89+N89)&gt;0.000000001,J89,0)</x:f>
        <x:v>0</x:v>
      </x:c>
      <x:c r="P89" s="24" t="n">
        <x:f>IF(SUM(O$86:O$95)&gt;0,MIN(MAX(0,I89-(L89+N89)),MAX(0,'Расчет'!E45-(SUM(L86:L95)+SUM(N86:N95)))*O89/SUM(O$86:O$95)),0)</x:f>
        <x:v>0</x:v>
      </x:c>
      <x:c r="Q89" s="20" t="n">
        <x:f>IF(I89-(L89+N89+P89)&gt;0.000000001,J89,0)</x:f>
        <x:v>0</x:v>
      </x:c>
      <x:c r="R89" s="24" t="n">
        <x:f>IF(SUM(Q$86:Q$95)&gt;0,MIN(MAX(0,I89-(L89+N89+P89)),MAX(0,'Расчет'!E45-(SUM(L86:L95)+SUM(N86:N95)+SUM(P86:P95)))*Q89/SUM(Q$86:Q$95)),0)</x:f>
        <x:v>0</x:v>
      </x:c>
      <x:c r="S89" s="20" t="n">
        <x:f>IF(I89-(L89+N89+P89+R89)&gt;0.000000001,J89,0)</x:f>
        <x:v>0</x:v>
      </x:c>
      <x:c r="T89" s="24" t="n">
        <x:f>IF(SUM(S$86:S$95)&gt;0,MIN(MAX(0,I89-(L89+N89+P89+R89)),MAX(0,'Расчет'!E45-(SUM(L86:L95)+SUM(N86:N95)+SUM(P86:P95)+SUM(R86:R95)))*S89/SUM(S$86:S$95)),0)</x:f>
        <x:v>0</x:v>
      </x:c>
      <x:c r="U89" s="20" t="n">
        <x:f>SUM(L89,N89,P89,R89,T89)</x:f>
        <x:v>201.27174054318084</x:v>
      </x:c>
      <x:c r="V89" s="24" t="n">
        <x:f>G89*(1-'Допущения'!E7)</x:f>
        <x:v>1314.7732374552054</x:v>
      </x:c>
      <x:c r="W89" s="24" t="n">
        <x:f>Y89*(1-'Допущения'!E7)</x:f>
        <x:v>1314.7732374552054</x:v>
      </x:c>
      <x:c r="X89" s="20" t="n">
        <x:f>G89</x:f>
        <x:v>1383.9718289002162</x:v>
      </x:c>
      <x:c r="Y89" s="20" t="n">
        <x:f>H89+U89</x:f>
        <x:v>1383.9718289002162</x:v>
      </x:c>
      <x:c r="Z89" s="20" t="n">
        <x:f>G89-V89</x:f>
        <x:v>69.19859144501083</x:v>
      </x:c>
      <x:c r="AA89" s="20" t="n">
        <x:f>Y89-W89</x:f>
        <x:v>69.19859144501083</x:v>
      </x:c>
      <x:c r="AB89" s="20" t="n">
        <x:f>Z89-AA89</x:f>
        <x:v>0</x:v>
      </x:c>
    </x:row>
    <x:row r="90" ht="21" customHeight="1">
      <x:c r="A90" s="2" t="str">
        <x:v>Бизнес</x:v>
      </x:c>
      <x:c r="B90" s="12" t="n">
        <x:v>2029</x:v>
      </x:c>
      <x:c r="C90" s="12" t="n">
        <x:v>2030</x:v>
      </x:c>
      <x:c r="D90" s="20" t="n">
        <x:f>Z80</x:f>
        <x:v>831.8873788197366</x:v>
      </x:c>
      <x:c r="E90" s="20" t="n">
        <x:f>AA80</x:f>
        <x:v>556.6032137353848</x:v>
      </x:c>
      <x:c r="F90" s="24" t="n">
        <x:f>'Расчет'!E36*'Допущения'!C25</x:f>
        <x:v>12.084285381332949</x:v>
      </x:c>
      <x:c r="G90" s="20" t="n">
        <x:f>D90+F90</x:f>
        <x:v>843.9716642010695</x:v>
      </x:c>
      <x:c r="H90" s="20" t="n">
        <x:f>E90</x:f>
        <x:v>556.6032137353848</x:v>
      </x:c>
      <x:c r="I90" s="20" t="n">
        <x:f>MAX(0,G90-H90)</x:f>
        <x:v>287.36845046568476</x:v>
      </x:c>
      <x:c r="J90" s="38" t="n">
        <x:f>'Допущения'!C30</x:f>
        <x:v>0.3612</x:v>
      </x:c>
      <x:c r="K90" s="39" t="n">
        <x:f>IF(I90-(0)&gt;0.000000001,J90,0)</x:f>
        <x:v>0.3612</x:v>
      </x:c>
      <x:c r="L90" s="24" t="n">
        <x:f>IF(SUM(K$86:K$95)&gt;0,MIN(MAX(0,I90-(0)),MAX(0,'Расчет'!E45-(0))*K90/SUM(K$86:K$95)),0)</x:f>
        <x:v>287.36845046568476</x:v>
      </x:c>
      <x:c r="M90" s="20" t="n">
        <x:f>IF(I90-(L90)&gt;0.000000001,J90,0)</x:f>
        <x:v>0</x:v>
      </x:c>
      <x:c r="N90" s="24" t="n">
        <x:f>IF(SUM(M$86:M$95)&gt;0,MIN(MAX(0,I90-(L90)),MAX(0,'Расчет'!E45-(SUM(L86:L95)))*M90/SUM(M$86:M$95)),0)</x:f>
        <x:v>0</x:v>
      </x:c>
      <x:c r="O90" s="20" t="n">
        <x:f>IF(I90-(L90+N90)&gt;0.000000001,J90,0)</x:f>
        <x:v>0</x:v>
      </x:c>
      <x:c r="P90" s="24" t="n">
        <x:f>IF(SUM(O$86:O$95)&gt;0,MIN(MAX(0,I90-(L90+N90)),MAX(0,'Расчет'!E45-(SUM(L86:L95)+SUM(N86:N95)))*O90/SUM(O$86:O$95)),0)</x:f>
        <x:v>0</x:v>
      </x:c>
      <x:c r="Q90" s="20" t="n">
        <x:f>IF(I90-(L90+N90+P90)&gt;0.000000001,J90,0)</x:f>
        <x:v>0</x:v>
      </x:c>
      <x:c r="R90" s="24" t="n">
        <x:f>IF(SUM(Q$86:Q$95)&gt;0,MIN(MAX(0,I90-(L90+N90+P90)),MAX(0,'Расчет'!E45-(SUM(L86:L95)+SUM(N86:N95)+SUM(P86:P95)))*Q90/SUM(Q$86:Q$95)),0)</x:f>
        <x:v>0</x:v>
      </x:c>
      <x:c r="S90" s="20" t="n">
        <x:f>IF(I90-(L90+N90+P90+R90)&gt;0.000000001,J90,0)</x:f>
        <x:v>0</x:v>
      </x:c>
      <x:c r="T90" s="24" t="n">
        <x:f>IF(SUM(S$86:S$95)&gt;0,MIN(MAX(0,I90-(L90+N90+P90+R90)),MAX(0,'Расчет'!E45-(SUM(L86:L95)+SUM(N86:N95)+SUM(P86:P95)+SUM(R86:R95)))*S90/SUM(S$86:S$95)),0)</x:f>
        <x:v>0</x:v>
      </x:c>
      <x:c r="U90" s="20" t="n">
        <x:f>SUM(L90,N90,P90,R90,T90)</x:f>
        <x:v>287.36845046568476</x:v>
      </x:c>
      <x:c r="V90" s="20" t="n">
        <x:f>0</x:f>
        <x:v>0</x:v>
      </x:c>
      <x:c r="W90" s="20" t="n">
        <x:f>0</x:f>
        <x:v>0</x:v>
      </x:c>
      <x:c r="X90" s="20" t="n">
        <x:f>G90</x:f>
        <x:v>843.9716642010695</x:v>
      </x:c>
      <x:c r="Y90" s="20" t="n">
        <x:f>H90+U90</x:f>
        <x:v>843.9716642010695</x:v>
      </x:c>
      <x:c r="Z90" s="20" t="n">
        <x:f>G90-V90</x:f>
        <x:v>843.9716642010695</x:v>
      </x:c>
      <x:c r="AA90" s="20" t="n">
        <x:f>Y90-W90</x:f>
        <x:v>843.9716642010695</x:v>
      </x:c>
      <x:c r="AB90" s="20" t="n">
        <x:f>Z90-AA90</x:f>
        <x:v>0</x:v>
      </x:c>
    </x:row>
    <x:row r="91" ht="21" customHeight="1">
      <x:c r="A91" s="2" t="str">
        <x:v>Бизнес</x:v>
      </x:c>
      <x:c r="B91" s="12" t="n">
        <x:v>2029</x:v>
      </x:c>
      <x:c r="C91" s="12" t="n">
        <x:v>2031</x:v>
      </x:c>
      <x:c r="D91" s="20" t="n">
        <x:f>Z81</x:f>
        <x:v>967.8580608962337</x:v>
      </x:c>
      <x:c r="E91" s="20" t="n">
        <x:f>AA81</x:f>
        <x:v>230.94257833133017</x:v>
      </x:c>
      <x:c r="F91" s="24" t="n">
        <x:f>'Расчет'!E36*'Допущения'!D25</x:f>
        <x:v>71.66132299207537</x:v>
      </x:c>
      <x:c r="G91" s="20" t="n">
        <x:f>D91+F91</x:f>
        <x:v>1039.519383888309</x:v>
      </x:c>
      <x:c r="H91" s="20" t="n">
        <x:f>E91</x:f>
        <x:v>230.94257833133017</x:v>
      </x:c>
      <x:c r="I91" s="20" t="n">
        <x:f>MAX(0,G91-H91)</x:f>
        <x:v>808.5768055569788</x:v>
      </x:c>
      <x:c r="J91" s="38" t="n">
        <x:f>'Допущения'!D30</x:f>
        <x:v>0.3111</x:v>
      </x:c>
      <x:c r="K91" s="39" t="n">
        <x:f>IF(I91-(0)&gt;0.000000001,J91,0)</x:f>
        <x:v>0.3111</x:v>
      </x:c>
      <x:c r="L91" s="24" t="n">
        <x:f>IF(SUM(K$86:K$95)&gt;0,MIN(MAX(0,I91-(0)),MAX(0,'Расчет'!E45-(0))*K91/SUM(K$86:K$95)),0)</x:f>
        <x:v>404.9660238641257</x:v>
      </x:c>
      <x:c r="M91" s="20" t="n">
        <x:f>IF(I91-(L91)&gt;0.000000001,J91,0)</x:f>
        <x:v>0.3111</x:v>
      </x:c>
      <x:c r="N91" s="24" t="n">
        <x:f>IF(SUM(M$86:M$95)&gt;0,MIN(MAX(0,I91-(L91)),MAX(0,'Расчет'!E45-(SUM(L86:L95)))*M91/SUM(M$86:M$95)),0)</x:f>
        <x:v>89.03162629907285</x:v>
      </x:c>
      <x:c r="O91" s="20" t="n">
        <x:f>IF(I91-(L91+N91)&gt;0.000000001,J91,0)</x:f>
        <x:v>0.3111</x:v>
      </x:c>
      <x:c r="P91" s="24" t="n">
        <x:f>IF(SUM(O$86:O$95)&gt;0,MIN(MAX(0,I91-(L91+N91)),MAX(0,'Расчет'!E45-(SUM(L86:L95)+SUM(N86:N95)))*O91/SUM(O$86:O$95)),0)</x:f>
        <x:v>8.785216943276588</x:v>
      </x:c>
      <x:c r="Q91" s="20" t="n">
        <x:f>IF(I91-(L91+N91+P91)&gt;0.000000001,J91,0)</x:f>
        <x:v>0.3111</x:v>
      </x:c>
      <x:c r="R91" s="24" t="n">
        <x:f>IF(SUM(Q$86:Q$95)&gt;0,MIN(MAX(0,I91-(L91+N91+P91)),MAX(0,'Расчет'!E45-(SUM(L86:L95)+SUM(N86:N95)+SUM(P86:P95)))*Q91/SUM(Q$86:Q$95)),0)</x:f>
        <x:v>0</x:v>
      </x:c>
      <x:c r="S91" s="20" t="n">
        <x:f>IF(I91-(L91+N91+P91+R91)&gt;0.000000001,J91,0)</x:f>
        <x:v>0.3111</x:v>
      </x:c>
      <x:c r="T91" s="24" t="n">
        <x:f>IF(SUM(S$86:S$95)&gt;0,MIN(MAX(0,I91-(L91+N91+P91+R91)),MAX(0,'Расчет'!E45-(SUM(L86:L95)+SUM(N86:N95)+SUM(P86:P95)+SUM(R86:R95)))*S91/SUM(S$86:S$95)),0)</x:f>
        <x:v>0</x:v>
      </x:c>
      <x:c r="U91" s="20" t="n">
        <x:f>SUM(L91,N91,P91,R91,T91)</x:f>
        <x:v>502.7828671064751</x:v>
      </x:c>
      <x:c r="V91" s="20" t="n">
        <x:f>0</x:f>
        <x:v>0</x:v>
      </x:c>
      <x:c r="W91" s="20" t="n">
        <x:f>0</x:f>
        <x:v>0</x:v>
      </x:c>
      <x:c r="X91" s="20" t="n">
        <x:f>G91</x:f>
        <x:v>1039.519383888309</x:v>
      </x:c>
      <x:c r="Y91" s="20" t="n">
        <x:f>H91+U91</x:f>
        <x:v>733.7254454378053</x:v>
      </x:c>
      <x:c r="Z91" s="20" t="n">
        <x:f>G91-V91</x:f>
        <x:v>1039.519383888309</x:v>
      </x:c>
      <x:c r="AA91" s="20" t="n">
        <x:f>Y91-W91</x:f>
        <x:v>733.7254454378053</x:v>
      </x:c>
      <x:c r="AB91" s="20" t="n">
        <x:f>Z91-AA91</x:f>
        <x:v>305.7939384505037</x:v>
      </x:c>
    </x:row>
    <x:row r="92" ht="21" customHeight="1">
      <x:c r="A92" s="2" t="str">
        <x:v>Бизнес</x:v>
      </x:c>
      <x:c r="B92" s="12" t="n">
        <x:v>2029</x:v>
      </x:c>
      <x:c r="C92" s="12" t="n">
        <x:v>2032</x:v>
      </x:c>
      <x:c r="D92" s="20" t="n">
        <x:f>Z82</x:f>
        <x:v>666.2260572059922</x:v>
      </x:c>
      <x:c r="E92" s="20" t="n">
        <x:f>AA82</x:f>
        <x:v>52.68833287853981</x:v>
      </x:c>
      <x:c r="F92" s="24" t="n">
        <x:f>'Расчет'!E36*'Допущения'!E25</x:f>
        <x:v>395.28796415541973</x:v>
      </x:c>
      <x:c r="G92" s="20" t="n">
        <x:f>D92+F92</x:f>
        <x:v>1061.514021361412</x:v>
      </x:c>
      <x:c r="H92" s="20" t="n">
        <x:f>E92</x:f>
        <x:v>52.68833287853981</x:v>
      </x:c>
      <x:c r="I92" s="20" t="n">
        <x:f>MAX(0,G92-H92)</x:f>
        <x:v>1008.8256884828722</x:v>
      </x:c>
      <x:c r="J92" s="38" t="n">
        <x:f>'Допущения'!E30</x:f>
        <x:v>0.1495</x:v>
      </x:c>
      <x:c r="K92" s="39" t="n">
        <x:f>IF(I92-(0)&gt;0.000000001,J92,0)</x:f>
        <x:v>0.1495</x:v>
      </x:c>
      <x:c r="L92" s="24" t="n">
        <x:f>IF(SUM(K$86:K$95)&gt;0,MIN(MAX(0,I92-(0)),MAX(0,'Расчет'!E45-(0))*K92/SUM(K$86:K$95)),0)</x:f>
        <x:v>194.60758780998646</x:v>
      </x:c>
      <x:c r="M92" s="20" t="n">
        <x:f>IF(I92-(L92)&gt;0.000000001,J92,0)</x:f>
        <x:v>0.1495</x:v>
      </x:c>
      <x:c r="N92" s="24" t="n">
        <x:f>IF(SUM(M$86:M$95)&gt;0,MIN(MAX(0,I92-(L92)),MAX(0,'Расчет'!E45-(SUM(L86:L95)))*M92/SUM(M$86:M$95)),0)</x:f>
        <x:v>42.78440415207776</x:v>
      </x:c>
      <x:c r="O92" s="20" t="n">
        <x:f>IF(I92-(L92+N92)&gt;0.000000001,J92,0)</x:f>
        <x:v>0.1495</x:v>
      </x:c>
      <x:c r="P92" s="24" t="n">
        <x:f>IF(SUM(O$86:O$95)&gt;0,MIN(MAX(0,I92-(L92+N92)),MAX(0,'Расчет'!E45-(SUM(L86:L95)+SUM(N86:N95)))*O92/SUM(O$86:O$95)),0)</x:f>
        <x:v>4.2217612761808105</x:v>
      </x:c>
      <x:c r="Q92" s="20" t="n">
        <x:f>IF(I92-(L92+N92+P92)&gt;0.000000001,J92,0)</x:f>
        <x:v>0.1495</x:v>
      </x:c>
      <x:c r="R92" s="24" t="n">
        <x:f>IF(SUM(Q$86:Q$95)&gt;0,MIN(MAX(0,I92-(L92+N92+P92)),MAX(0,'Расчет'!E45-(SUM(L86:L95)+SUM(N86:N95)+SUM(P86:P95)))*Q92/SUM(Q$86:Q$95)),0)</x:f>
        <x:v>0</x:v>
      </x:c>
      <x:c r="S92" s="20" t="n">
        <x:f>IF(I92-(L92+N92+P92+R92)&gt;0.000000001,J92,0)</x:f>
        <x:v>0.1495</x:v>
      </x:c>
      <x:c r="T92" s="24" t="n">
        <x:f>IF(SUM(S$86:S$95)&gt;0,MIN(MAX(0,I92-(L92+N92+P92+R92)),MAX(0,'Расчет'!E45-(SUM(L86:L95)+SUM(N86:N95)+SUM(P86:P95)+SUM(R86:R95)))*S92/SUM(S$86:S$95)),0)</x:f>
        <x:v>0</x:v>
      </x:c>
      <x:c r="U92" s="20" t="n">
        <x:f>SUM(L92,N92,P92,R92,T92)</x:f>
        <x:v>241.61375323824504</x:v>
      </x:c>
      <x:c r="V92" s="20" t="n">
        <x:f>0</x:f>
        <x:v>0</x:v>
      </x:c>
      <x:c r="W92" s="20" t="n">
        <x:f>0</x:f>
        <x:v>0</x:v>
      </x:c>
      <x:c r="X92" s="20" t="n">
        <x:f>G92</x:f>
        <x:v>1061.514021361412</x:v>
      </x:c>
      <x:c r="Y92" s="20" t="n">
        <x:f>H92+U92</x:f>
        <x:v>294.30208611678484</x:v>
      </x:c>
      <x:c r="Z92" s="20" t="n">
        <x:f>G92-V92</x:f>
        <x:v>1061.514021361412</x:v>
      </x:c>
      <x:c r="AA92" s="20" t="n">
        <x:f>Y92-W92</x:f>
        <x:v>294.30208611678484</x:v>
      </x:c>
      <x:c r="AB92" s="20" t="n">
        <x:f>Z92-AA92</x:f>
        <x:v>767.2119352446272</x:v>
      </x:c>
    </x:row>
    <x:row r="93" ht="21" customHeight="1">
      <x:c r="A93" s="2" t="str">
        <x:v>Бизнес</x:v>
      </x:c>
      <x:c r="B93" s="12" t="n">
        <x:v>2029</x:v>
      </x:c>
      <x:c r="C93" s="12" t="n">
        <x:v>2033</x:v>
      </x:c>
      <x:c r="D93" s="20" t="n">
        <x:f>Z83</x:f>
        <x:v>46.783893534016414</x:v>
      </x:c>
      <x:c r="E93" s="20" t="n">
        <x:f>AA83</x:f>
        <x:v>0</x:v>
      </x:c>
      <x:c r="F93" s="24" t="n">
        <x:f>'Расчет'!E36*'Допущения'!F25</x:f>
        <x:v>670.2633881205185</x:v>
      </x:c>
      <x:c r="G93" s="20" t="n">
        <x:f>D93+F93</x:f>
        <x:v>717.0472816545349</x:v>
      </x:c>
      <x:c r="H93" s="20" t="n">
        <x:f>E93</x:f>
        <x:v>0</x:v>
      </x:c>
      <x:c r="I93" s="20" t="n">
        <x:f>MAX(0,G93-H93)</x:f>
        <x:v>717.0472816545349</x:v>
      </x:c>
      <x:c r="J93" s="38" t="n">
        <x:f>'Допущения'!F30</x:f>
        <x:v>0.0425</x:v>
      </x:c>
      <x:c r="K93" s="39" t="n">
        <x:f>IF(I93-(0)&gt;0.000000001,J93,0)</x:f>
        <x:v>0.0425</x:v>
      </x:c>
      <x:c r="L93" s="24" t="n">
        <x:f>IF(SUM(K$86:K$95)&gt;0,MIN(MAX(0,I93-(0)),MAX(0,'Расчет'!E45-(0))*K93/SUM(K$86:K$95)),0)</x:f>
        <x:v>55.32322730384231</x:v>
      </x:c>
      <x:c r="M93" s="20" t="n">
        <x:f>IF(I93-(L93)&gt;0.000000001,J93,0)</x:f>
        <x:v>0.0425</x:v>
      </x:c>
      <x:c r="N93" s="24" t="n">
        <x:f>IF(SUM(M$86:M$95)&gt;0,MIN(MAX(0,I93-(L93)),MAX(0,'Расчет'!E45-(SUM(L86:L95)))*M93/SUM(M$86:M$95)),0)</x:f>
        <x:v>12.16279047801542</x:v>
      </x:c>
      <x:c r="O93" s="20" t="n">
        <x:f>IF(I93-(L93+N93)&gt;0.000000001,J93,0)</x:f>
        <x:v>0.0425</x:v>
      </x:c>
      <x:c r="P93" s="24" t="n">
        <x:f>IF(SUM(O$86:O$95)&gt;0,MIN(MAX(0,I93-(L93+N93)),MAX(0,'Расчет'!E45-(SUM(L86:L95)+SUM(N86:N95)))*O93/SUM(O$86:O$95)),0)</x:f>
        <x:v>1.2001662490815013</x:v>
      </x:c>
      <x:c r="Q93" s="20" t="n">
        <x:f>IF(I93-(L93+N93+P93)&gt;0.000000001,J93,0)</x:f>
        <x:v>0.0425</x:v>
      </x:c>
      <x:c r="R93" s="24" t="n">
        <x:f>IF(SUM(Q$86:Q$95)&gt;0,MIN(MAX(0,I93-(L93+N93+P93)),MAX(0,'Расчет'!E45-(SUM(L86:L95)+SUM(N86:N95)+SUM(P86:P95)))*Q93/SUM(Q$86:Q$95)),0)</x:f>
        <x:v>0</x:v>
      </x:c>
      <x:c r="S93" s="20" t="n">
        <x:f>IF(I93-(L93+N93+P93+R93)&gt;0.000000001,J93,0)</x:f>
        <x:v>0.0425</x:v>
      </x:c>
      <x:c r="T93" s="24" t="n">
        <x:f>IF(SUM(S$86:S$95)&gt;0,MIN(MAX(0,I93-(L93+N93+P93+R93)),MAX(0,'Расчет'!E45-(SUM(L86:L95)+SUM(N86:N95)+SUM(P86:P95)+SUM(R86:R95)))*S93/SUM(S$86:S$95)),0)</x:f>
        <x:v>0</x:v>
      </x:c>
      <x:c r="U93" s="20" t="n">
        <x:f>SUM(L93,N93,P93,R93,T93)</x:f>
        <x:v>68.68618403093923</x:v>
      </x:c>
      <x:c r="V93" s="20" t="n">
        <x:f>0</x:f>
        <x:v>0</x:v>
      </x:c>
      <x:c r="W93" s="20" t="n">
        <x:f>0</x:f>
        <x:v>0</x:v>
      </x:c>
      <x:c r="X93" s="20" t="n">
        <x:f>G93</x:f>
        <x:v>717.0472816545349</x:v>
      </x:c>
      <x:c r="Y93" s="20" t="n">
        <x:f>H93+U93</x:f>
        <x:v>68.68618403093923</x:v>
      </x:c>
      <x:c r="Z93" s="20" t="n">
        <x:f>G93-V93</x:f>
        <x:v>717.0472816545349</x:v>
      </x:c>
      <x:c r="AA93" s="20" t="n">
        <x:f>Y93-W93</x:f>
        <x:v>68.68618403093923</x:v>
      </x:c>
      <x:c r="AB93" s="20" t="n">
        <x:f>Z93-AA93</x:f>
        <x:v>648.3610976235957</x:v>
      </x:c>
    </x:row>
    <x:row r="94" ht="21" customHeight="1">
      <x:c r="A94" s="2" t="str">
        <x:v>Бизнес</x:v>
      </x:c>
      <x:c r="B94" s="12" t="n">
        <x:v>2029</x:v>
      </x:c>
      <x:c r="C94" s="12" t="n">
        <x:v>2034</x:v>
      </x:c>
      <x:c r="D94" s="20" t="n">
        <x:f>Z84</x:f>
        <x:v>0</x:v>
      </x:c>
      <x:c r="E94" s="20" t="n">
        <x:f>AA84</x:f>
        <x:v>0</x:v>
      </x:c>
      <x:c r="F94" s="24" t="n">
        <x:f>'Расчет'!E36*'Допущения'!G25</x:f>
        <x:v>50.19207841931983</x:v>
      </x:c>
      <x:c r="G94" s="20" t="n">
        <x:f>D94+F94</x:f>
        <x:v>50.19207841931983</x:v>
      </x:c>
      <x:c r="H94" s="20" t="n">
        <x:f>E94</x:f>
        <x:v>0</x:v>
      </x:c>
      <x:c r="I94" s="20" t="n">
        <x:f>MAX(0,G94-H94)</x:f>
        <x:v>50.19207841931983</x:v>
      </x:c>
      <x:c r="J94" s="39" t="n">
        <x:f>0</x:f>
        <x:v>0</x:v>
      </x:c>
      <x:c r="K94" s="39" t="n">
        <x:f>IF(I94-(0)&gt;0.000000001,J94,0)</x:f>
        <x:v>0</x:v>
      </x:c>
      <x:c r="L94" s="24" t="n">
        <x:f>IF(SUM(K$86:K$95)&gt;0,MIN(MAX(0,I94-(0)),MAX(0,'Расчет'!E45-(0))*K94/SUM(K$86:K$95)),0)</x:f>
        <x:v>0</x:v>
      </x:c>
      <x:c r="M94" s="20" t="n">
        <x:f>IF(I94-(L94)&gt;0.000000001,J94,0)</x:f>
        <x:v>0</x:v>
      </x:c>
      <x:c r="N94" s="24" t="n">
        <x:f>IF(SUM(M$86:M$95)&gt;0,MIN(MAX(0,I94-(L94)),MAX(0,'Расчет'!E45-(SUM(L86:L95)))*M94/SUM(M$86:M$95)),0)</x:f>
        <x:v>0</x:v>
      </x:c>
      <x:c r="O94" s="20" t="n">
        <x:f>IF(I94-(L94+N94)&gt;0.000000001,J94,0)</x:f>
        <x:v>0</x:v>
      </x:c>
      <x:c r="P94" s="24" t="n">
        <x:f>IF(SUM(O$86:O$95)&gt;0,MIN(MAX(0,I94-(L94+N94)),MAX(0,'Расчет'!E45-(SUM(L86:L95)+SUM(N86:N95)))*O94/SUM(O$86:O$95)),0)</x:f>
        <x:v>0</x:v>
      </x:c>
      <x:c r="Q94" s="20" t="n">
        <x:f>IF(I94-(L94+N94+P94)&gt;0.000000001,J94,0)</x:f>
        <x:v>0</x:v>
      </x:c>
      <x:c r="R94" s="24" t="n">
        <x:f>IF(SUM(Q$86:Q$95)&gt;0,MIN(MAX(0,I94-(L94+N94+P94)),MAX(0,'Расчет'!E45-(SUM(L86:L95)+SUM(N86:N95)+SUM(P86:P95)))*Q94/SUM(Q$86:Q$95)),0)</x:f>
        <x:v>0</x:v>
      </x:c>
      <x:c r="S94" s="20" t="n">
        <x:f>IF(I94-(L94+N94+P94+R94)&gt;0.000000001,J94,0)</x:f>
        <x:v>0</x:v>
      </x:c>
      <x:c r="T94" s="24" t="n">
        <x:f>IF(SUM(S$86:S$95)&gt;0,MIN(MAX(0,I94-(L94+N94+P94+R94)),MAX(0,'Расчет'!E45-(SUM(L86:L95)+SUM(N86:N95)+SUM(P86:P95)+SUM(R86:R95)))*S94/SUM(S$86:S$95)),0)</x:f>
        <x:v>0</x:v>
      </x:c>
      <x:c r="U94" s="20" t="n">
        <x:f>SUM(L94,N94,P94,R94,T94)</x:f>
        <x:v>0</x:v>
      </x:c>
      <x:c r="V94" s="20" t="n">
        <x:f>0</x:f>
        <x:v>0</x:v>
      </x:c>
      <x:c r="W94" s="20" t="n">
        <x:f>0</x:f>
        <x:v>0</x:v>
      </x:c>
      <x:c r="X94" s="20" t="n">
        <x:f>G94</x:f>
        <x:v>50.19207841931983</x:v>
      </x:c>
      <x:c r="Y94" s="20" t="n">
        <x:f>H94+U94</x:f>
        <x:v>0</x:v>
      </x:c>
      <x:c r="Z94" s="20" t="n">
        <x:f>G94-V94</x:f>
        <x:v>50.19207841931983</x:v>
      </x:c>
      <x:c r="AA94" s="20" t="n">
        <x:f>Y94-W94</x:f>
        <x:v>0</x:v>
      </x:c>
      <x:c r="AB94" s="20" t="n">
        <x:f>Z94-AA94</x:f>
        <x:v>50.19207841931983</x:v>
      </x:c>
    </x:row>
    <x:row r="95" ht="21" customHeight="1">
      <x:c r="A95" s="2" t="str">
        <x:v>Бизнес</x:v>
      </x:c>
      <x:c r="B95" s="12" t="n">
        <x:v>2029</x:v>
      </x:c>
      <x:c r="C95" s="12" t="n">
        <x:v>2035</x:v>
      </x:c>
      <x:c r="D95" s="20" t="n">
        <x:f>Z85</x:f>
        <x:v>0</x:v>
      </x:c>
      <x:c r="E95" s="20" t="n">
        <x:f>AA85</x:f>
        <x:v>0</x:v>
      </x:c>
      <x:c r="F95" s="20" t="n">
        <x:f>0</x:f>
        <x:v>0</x:v>
      </x:c>
      <x:c r="G95" s="20" t="n">
        <x:f>D95+F95</x:f>
        <x:v>0</x:v>
      </x:c>
      <x:c r="H95" s="20" t="n">
        <x:f>E95</x:f>
        <x:v>0</x:v>
      </x:c>
      <x:c r="I95" s="20" t="n">
        <x:f>MAX(0,G95-H95)</x:f>
        <x:v>0</x:v>
      </x:c>
      <x:c r="J95" s="39" t="n">
        <x:f>0</x:f>
        <x:v>0</x:v>
      </x:c>
      <x:c r="K95" s="39" t="n">
        <x:f>IF(I95-(0)&gt;0.000000001,J95,0)</x:f>
        <x:v>0</x:v>
      </x:c>
      <x:c r="L95" s="24" t="n">
        <x:f>IF(SUM(K$86:K$95)&gt;0,MIN(MAX(0,I95-(0)),MAX(0,'Расчет'!E45-(0))*K95/SUM(K$86:K$95)),0)</x:f>
        <x:v>0</x:v>
      </x:c>
      <x:c r="M95" s="20" t="n">
        <x:f>IF(I95-(L95)&gt;0.000000001,J95,0)</x:f>
        <x:v>0</x:v>
      </x:c>
      <x:c r="N95" s="24" t="n">
        <x:f>IF(SUM(M$86:M$95)&gt;0,MIN(MAX(0,I95-(L95)),MAX(0,'Расчет'!E45-(SUM(L86:L95)))*M95/SUM(M$86:M$95)),0)</x:f>
        <x:v>0</x:v>
      </x:c>
      <x:c r="O95" s="20" t="n">
        <x:f>IF(I95-(L95+N95)&gt;0.000000001,J95,0)</x:f>
        <x:v>0</x:v>
      </x:c>
      <x:c r="P95" s="24" t="n">
        <x:f>IF(SUM(O$86:O$95)&gt;0,MIN(MAX(0,I95-(L95+N95)),MAX(0,'Расчет'!E45-(SUM(L86:L95)+SUM(N86:N95)))*O95/SUM(O$86:O$95)),0)</x:f>
        <x:v>0</x:v>
      </x:c>
      <x:c r="Q95" s="20" t="n">
        <x:f>IF(I95-(L95+N95+P95)&gt;0.000000001,J95,0)</x:f>
        <x:v>0</x:v>
      </x:c>
      <x:c r="R95" s="24" t="n">
        <x:f>IF(SUM(Q$86:Q$95)&gt;0,MIN(MAX(0,I95-(L95+N95+P95)),MAX(0,'Расчет'!E45-(SUM(L86:L95)+SUM(N86:N95)+SUM(P86:P95)))*Q95/SUM(Q$86:Q$95)),0)</x:f>
        <x:v>0</x:v>
      </x:c>
      <x:c r="S95" s="20" t="n">
        <x:f>IF(I95-(L95+N95+P95+R95)&gt;0.000000001,J95,0)</x:f>
        <x:v>0</x:v>
      </x:c>
      <x:c r="T95" s="24" t="n">
        <x:f>IF(SUM(S$86:S$95)&gt;0,MIN(MAX(0,I95-(L95+N95+P95+R95)),MAX(0,'Расчет'!E45-(SUM(L86:L95)+SUM(N86:N95)+SUM(P86:P95)+SUM(R86:R95)))*S95/SUM(S$86:S$95)),0)</x:f>
        <x:v>0</x:v>
      </x:c>
      <x:c r="U95" s="20" t="n">
        <x:f>SUM(L95,N95,P95,R95,T95)</x:f>
        <x:v>0</x:v>
      </x:c>
      <x:c r="V95" s="20" t="n">
        <x:f>0</x:f>
        <x:v>0</x:v>
      </x:c>
      <x:c r="W95" s="20" t="n">
        <x:f>0</x:f>
        <x:v>0</x:v>
      </x:c>
      <x:c r="X95" s="20" t="n">
        <x:f>G95</x:f>
        <x:v>0</x:v>
      </x:c>
      <x:c r="Y95" s="20" t="n">
        <x:f>H95+U95</x:f>
        <x:v>0</x:v>
      </x:c>
      <x:c r="Z95" s="20" t="n">
        <x:f>G95-V95</x:f>
        <x:v>0</x:v>
      </x:c>
      <x:c r="AA95" s="20" t="n">
        <x:f>Y95-W95</x:f>
        <x:v>0</x:v>
      </x:c>
      <x:c r="AB95" s="20" t="n">
        <x:f>Z95-AA95</x:f>
        <x:v>0</x:v>
      </x:c>
    </x:row>
    <x:row r="96" ht="21" customHeight="1">
      <x:c r="A96" s="2" t="str">
        <x:v>Бизнес</x:v>
      </x:c>
      <x:c r="B96" s="12" t="n">
        <x:v>2030</x:v>
      </x:c>
      <x:c r="C96" s="12" t="n">
        <x:v>2026</x:v>
      </x:c>
      <x:c r="D96" s="20" t="n">
        <x:f>0</x:f>
        <x:v>0</x:v>
      </x:c>
      <x:c r="E96" s="20" t="n">
        <x:f>0</x:f>
        <x:v>0</x:v>
      </x:c>
      <x:c r="F96" s="20" t="n">
        <x:f>0</x:f>
        <x:v>0</x:v>
      </x:c>
      <x:c r="G96" s="20" t="n">
        <x:f>D96+F96</x:f>
        <x:v>0</x:v>
      </x:c>
      <x:c r="H96" s="20" t="n">
        <x:f>E96</x:f>
        <x:v>0</x:v>
      </x:c>
      <x:c r="I96" s="20" t="n">
        <x:f>MAX(0,G96-H96)</x:f>
        <x:v>0</x:v>
      </x:c>
      <x:c r="J96" s="39" t="n">
        <x:f>0</x:f>
        <x:v>0</x:v>
      </x:c>
      <x:c r="K96" s="39" t="n">
        <x:f>IF(I96-(0)&gt;0.000000001,J96,0)</x:f>
        <x:v>0</x:v>
      </x:c>
      <x:c r="L96" s="24" t="n">
        <x:f>IF(SUM(K$96:K$105)&gt;0,MIN(MAX(0,I96-(0)),MAX(0,'Расчет'!F45-(0))*K96/SUM(K$96:K$105)),0)</x:f>
        <x:v>0</x:v>
      </x:c>
      <x:c r="M96" s="20" t="n">
        <x:f>IF(I96-(L96)&gt;0.000000001,J96,0)</x:f>
        <x:v>0</x:v>
      </x:c>
      <x:c r="N96" s="24" t="n">
        <x:f>IF(SUM(M$96:M$105)&gt;0,MIN(MAX(0,I96-(L96)),MAX(0,'Расчет'!F45-(SUM(L96:L105)))*M96/SUM(M$96:M$105)),0)</x:f>
        <x:v>0</x:v>
      </x:c>
      <x:c r="O96" s="20" t="n">
        <x:f>IF(I96-(L96+N96)&gt;0.000000001,J96,0)</x:f>
        <x:v>0</x:v>
      </x:c>
      <x:c r="P96" s="24" t="n">
        <x:f>IF(SUM(O$96:O$105)&gt;0,MIN(MAX(0,I96-(L96+N96)),MAX(0,'Расчет'!F45-(SUM(L96:L105)+SUM(N96:N105)))*O96/SUM(O$96:O$105)),0)</x:f>
        <x:v>0</x:v>
      </x:c>
      <x:c r="Q96" s="20" t="n">
        <x:f>IF(I96-(L96+N96+P96)&gt;0.000000001,J96,0)</x:f>
        <x:v>0</x:v>
      </x:c>
      <x:c r="R96" s="24" t="n">
        <x:f>IF(SUM(Q$96:Q$105)&gt;0,MIN(MAX(0,I96-(L96+N96+P96)),MAX(0,'Расчет'!F45-(SUM(L96:L105)+SUM(N96:N105)+SUM(P96:P105)))*Q96/SUM(Q$96:Q$105)),0)</x:f>
        <x:v>0</x:v>
      </x:c>
      <x:c r="S96" s="20" t="n">
        <x:f>IF(I96-(L96+N96+P96+R96)&gt;0.000000001,J96,0)</x:f>
        <x:v>0</x:v>
      </x:c>
      <x:c r="T96" s="24" t="n">
        <x:f>IF(SUM(S$96:S$105)&gt;0,MIN(MAX(0,I96-(L96+N96+P96+R96)),MAX(0,'Расчет'!F45-(SUM(L96:L105)+SUM(N96:N105)+SUM(P96:P105)+SUM(R96:R105)))*S96/SUM(S$96:S$105)),0)</x:f>
        <x:v>0</x:v>
      </x:c>
      <x:c r="U96" s="20" t="n">
        <x:f>SUM(L96,N96,P96,R96,T96)</x:f>
        <x:v>0</x:v>
      </x:c>
      <x:c r="V96" s="20" t="n">
        <x:f>0</x:f>
        <x:v>0</x:v>
      </x:c>
      <x:c r="W96" s="20" t="n">
        <x:f>0</x:f>
        <x:v>0</x:v>
      </x:c>
      <x:c r="X96" s="20" t="n">
        <x:f>G96</x:f>
        <x:v>0</x:v>
      </x:c>
      <x:c r="Y96" s="20" t="n">
        <x:f>H96+U96</x:f>
        <x:v>0</x:v>
      </x:c>
      <x:c r="Z96" s="20" t="n">
        <x:f>G96-V96</x:f>
        <x:v>0</x:v>
      </x:c>
      <x:c r="AA96" s="20" t="n">
        <x:f>Y96-W96</x:f>
        <x:v>0</x:v>
      </x:c>
      <x:c r="AB96" s="20" t="n">
        <x:f>Z96-AA96</x:f>
        <x:v>0</x:v>
      </x:c>
    </x:row>
    <x:row r="97" ht="21" customHeight="1">
      <x:c r="A97" s="2" t="str">
        <x:v>Бизнес</x:v>
      </x:c>
      <x:c r="B97" s="12" t="n">
        <x:v>2030</x:v>
      </x:c>
      <x:c r="C97" s="12" t="n">
        <x:v>2027</x:v>
      </x:c>
      <x:c r="D97" s="20" t="n">
        <x:f>0</x:f>
        <x:v>0</x:v>
      </x:c>
      <x:c r="E97" s="20" t="n">
        <x:f>0</x:f>
        <x:v>0</x:v>
      </x:c>
      <x:c r="F97" s="20" t="n">
        <x:f>0</x:f>
        <x:v>0</x:v>
      </x:c>
      <x:c r="G97" s="20" t="n">
        <x:f>D97+F97</x:f>
        <x:v>0</x:v>
      </x:c>
      <x:c r="H97" s="20" t="n">
        <x:f>E97</x:f>
        <x:v>0</x:v>
      </x:c>
      <x:c r="I97" s="20" t="n">
        <x:f>MAX(0,G97-H97)</x:f>
        <x:v>0</x:v>
      </x:c>
      <x:c r="J97" s="39" t="n">
        <x:f>0</x:f>
        <x:v>0</x:v>
      </x:c>
      <x:c r="K97" s="39" t="n">
        <x:f>IF(I97-(0)&gt;0.000000001,J97,0)</x:f>
        <x:v>0</x:v>
      </x:c>
      <x:c r="L97" s="24" t="n">
        <x:f>IF(SUM(K$96:K$105)&gt;0,MIN(MAX(0,I97-(0)),MAX(0,'Расчет'!F45-(0))*K97/SUM(K$96:K$105)),0)</x:f>
        <x:v>0</x:v>
      </x:c>
      <x:c r="M97" s="20" t="n">
        <x:f>IF(I97-(L97)&gt;0.000000001,J97,0)</x:f>
        <x:v>0</x:v>
      </x:c>
      <x:c r="N97" s="24" t="n">
        <x:f>IF(SUM(M$96:M$105)&gt;0,MIN(MAX(0,I97-(L97)),MAX(0,'Расчет'!F45-(SUM(L96:L105)))*M97/SUM(M$96:M$105)),0)</x:f>
        <x:v>0</x:v>
      </x:c>
      <x:c r="O97" s="20" t="n">
        <x:f>IF(I97-(L97+N97)&gt;0.000000001,J97,0)</x:f>
        <x:v>0</x:v>
      </x:c>
      <x:c r="P97" s="24" t="n">
        <x:f>IF(SUM(O$96:O$105)&gt;0,MIN(MAX(0,I97-(L97+N97)),MAX(0,'Расчет'!F45-(SUM(L96:L105)+SUM(N96:N105)))*O97/SUM(O$96:O$105)),0)</x:f>
        <x:v>0</x:v>
      </x:c>
      <x:c r="Q97" s="20" t="n">
        <x:f>IF(I97-(L97+N97+P97)&gt;0.000000001,J97,0)</x:f>
        <x:v>0</x:v>
      </x:c>
      <x:c r="R97" s="24" t="n">
        <x:f>IF(SUM(Q$96:Q$105)&gt;0,MIN(MAX(0,I97-(L97+N97+P97)),MAX(0,'Расчет'!F45-(SUM(L96:L105)+SUM(N96:N105)+SUM(P96:P105)))*Q97/SUM(Q$96:Q$105)),0)</x:f>
        <x:v>0</x:v>
      </x:c>
      <x:c r="S97" s="20" t="n">
        <x:f>IF(I97-(L97+N97+P97+R97)&gt;0.000000001,J97,0)</x:f>
        <x:v>0</x:v>
      </x:c>
      <x:c r="T97" s="24" t="n">
        <x:f>IF(SUM(S$96:S$105)&gt;0,MIN(MAX(0,I97-(L97+N97+P97+R97)),MAX(0,'Расчет'!F45-(SUM(L96:L105)+SUM(N96:N105)+SUM(P96:P105)+SUM(R96:R105)))*S97/SUM(S$96:S$105)),0)</x:f>
        <x:v>0</x:v>
      </x:c>
      <x:c r="U97" s="20" t="n">
        <x:f>SUM(L97,N97,P97,R97,T97)</x:f>
        <x:v>0</x:v>
      </x:c>
      <x:c r="V97" s="20" t="n">
        <x:f>0</x:f>
        <x:v>0</x:v>
      </x:c>
      <x:c r="W97" s="20" t="n">
        <x:f>0</x:f>
        <x:v>0</x:v>
      </x:c>
      <x:c r="X97" s="20" t="n">
        <x:f>G97</x:f>
        <x:v>0</x:v>
      </x:c>
      <x:c r="Y97" s="20" t="n">
        <x:f>H97+U97</x:f>
        <x:v>0</x:v>
      </x:c>
      <x:c r="Z97" s="20" t="n">
        <x:f>G97-V97</x:f>
        <x:v>0</x:v>
      </x:c>
      <x:c r="AA97" s="20" t="n">
        <x:f>Y97-W97</x:f>
        <x:v>0</x:v>
      </x:c>
      <x:c r="AB97" s="20" t="n">
        <x:f>Z97-AA97</x:f>
        <x:v>0</x:v>
      </x:c>
    </x:row>
    <x:row r="98" ht="21" customHeight="1">
      <x:c r="A98" s="2" t="str">
        <x:v>Бизнес</x:v>
      </x:c>
      <x:c r="B98" s="12" t="n">
        <x:v>2030</x:v>
      </x:c>
      <x:c r="C98" s="12" t="n">
        <x:v>2028</x:v>
      </x:c>
      <x:c r="D98" s="20" t="n">
        <x:f>0</x:f>
        <x:v>0</x:v>
      </x:c>
      <x:c r="E98" s="20" t="n">
        <x:f>0</x:f>
        <x:v>0</x:v>
      </x:c>
      <x:c r="F98" s="20" t="n">
        <x:f>0</x:f>
        <x:v>0</x:v>
      </x:c>
      <x:c r="G98" s="20" t="n">
        <x:f>D98+F98</x:f>
        <x:v>0</x:v>
      </x:c>
      <x:c r="H98" s="20" t="n">
        <x:f>E98</x:f>
        <x:v>0</x:v>
      </x:c>
      <x:c r="I98" s="20" t="n">
        <x:f>MAX(0,G98-H98)</x:f>
        <x:v>0</x:v>
      </x:c>
      <x:c r="J98" s="39" t="n">
        <x:f>0</x:f>
        <x:v>0</x:v>
      </x:c>
      <x:c r="K98" s="39" t="n">
        <x:f>IF(I98-(0)&gt;0.000000001,J98,0)</x:f>
        <x:v>0</x:v>
      </x:c>
      <x:c r="L98" s="24" t="n">
        <x:f>IF(SUM(K$96:K$105)&gt;0,MIN(MAX(0,I98-(0)),MAX(0,'Расчет'!F45-(0))*K98/SUM(K$96:K$105)),0)</x:f>
        <x:v>0</x:v>
      </x:c>
      <x:c r="M98" s="20" t="n">
        <x:f>IF(I98-(L98)&gt;0.000000001,J98,0)</x:f>
        <x:v>0</x:v>
      </x:c>
      <x:c r="N98" s="24" t="n">
        <x:f>IF(SUM(M$96:M$105)&gt;0,MIN(MAX(0,I98-(L98)),MAX(0,'Расчет'!F45-(SUM(L96:L105)))*M98/SUM(M$96:M$105)),0)</x:f>
        <x:v>0</x:v>
      </x:c>
      <x:c r="O98" s="20" t="n">
        <x:f>IF(I98-(L98+N98)&gt;0.000000001,J98,0)</x:f>
        <x:v>0</x:v>
      </x:c>
      <x:c r="P98" s="24" t="n">
        <x:f>IF(SUM(O$96:O$105)&gt;0,MIN(MAX(0,I98-(L98+N98)),MAX(0,'Расчет'!F45-(SUM(L96:L105)+SUM(N96:N105)))*O98/SUM(O$96:O$105)),0)</x:f>
        <x:v>0</x:v>
      </x:c>
      <x:c r="Q98" s="20" t="n">
        <x:f>IF(I98-(L98+N98+P98)&gt;0.000000001,J98,0)</x:f>
        <x:v>0</x:v>
      </x:c>
      <x:c r="R98" s="24" t="n">
        <x:f>IF(SUM(Q$96:Q$105)&gt;0,MIN(MAX(0,I98-(L98+N98+P98)),MAX(0,'Расчет'!F45-(SUM(L96:L105)+SUM(N96:N105)+SUM(P96:P105)))*Q98/SUM(Q$96:Q$105)),0)</x:f>
        <x:v>0</x:v>
      </x:c>
      <x:c r="S98" s="20" t="n">
        <x:f>IF(I98-(L98+N98+P98+R98)&gt;0.000000001,J98,0)</x:f>
        <x:v>0</x:v>
      </x:c>
      <x:c r="T98" s="24" t="n">
        <x:f>IF(SUM(S$96:S$105)&gt;0,MIN(MAX(0,I98-(L98+N98+P98+R98)),MAX(0,'Расчет'!F45-(SUM(L96:L105)+SUM(N96:N105)+SUM(P96:P105)+SUM(R96:R105)))*S98/SUM(S$96:S$105)),0)</x:f>
        <x:v>0</x:v>
      </x:c>
      <x:c r="U98" s="20" t="n">
        <x:f>SUM(L98,N98,P98,R98,T98)</x:f>
        <x:v>0</x:v>
      </x:c>
      <x:c r="V98" s="20" t="n">
        <x:f>0</x:f>
        <x:v>0</x:v>
      </x:c>
      <x:c r="W98" s="20" t="n">
        <x:f>0</x:f>
        <x:v>0</x:v>
      </x:c>
      <x:c r="X98" s="20" t="n">
        <x:f>G98</x:f>
        <x:v>0</x:v>
      </x:c>
      <x:c r="Y98" s="20" t="n">
        <x:f>H98+U98</x:f>
        <x:v>0</x:v>
      </x:c>
      <x:c r="Z98" s="20" t="n">
        <x:f>G98-V98</x:f>
        <x:v>0</x:v>
      </x:c>
      <x:c r="AA98" s="20" t="n">
        <x:f>Y98-W98</x:f>
        <x:v>0</x:v>
      </x:c>
      <x:c r="AB98" s="20" t="n">
        <x:f>Z98-AA98</x:f>
        <x:v>0</x:v>
      </x:c>
    </x:row>
    <x:row r="99" ht="21" customHeight="1">
      <x:c r="A99" s="2" t="str">
        <x:v>Бизнес</x:v>
      </x:c>
      <x:c r="B99" s="12" t="n">
        <x:v>2030</x:v>
      </x:c>
      <x:c r="C99" s="12" t="n">
        <x:v>2029</x:v>
      </x:c>
      <x:c r="D99" s="20" t="n">
        <x:f>0</x:f>
        <x:v>0</x:v>
      </x:c>
      <x:c r="E99" s="20" t="n">
        <x:f>0</x:f>
        <x:v>0</x:v>
      </x:c>
      <x:c r="F99" s="20" t="n">
        <x:f>0</x:f>
        <x:v>0</x:v>
      </x:c>
      <x:c r="G99" s="20" t="n">
        <x:f>D99+F99</x:f>
        <x:v>0</x:v>
      </x:c>
      <x:c r="H99" s="20" t="n">
        <x:f>E99</x:f>
        <x:v>0</x:v>
      </x:c>
      <x:c r="I99" s="20" t="n">
        <x:f>MAX(0,G99-H99)</x:f>
        <x:v>0</x:v>
      </x:c>
      <x:c r="J99" s="39" t="n">
        <x:f>0</x:f>
        <x:v>0</x:v>
      </x:c>
      <x:c r="K99" s="39" t="n">
        <x:f>IF(I99-(0)&gt;0.000000001,J99,0)</x:f>
        <x:v>0</x:v>
      </x:c>
      <x:c r="L99" s="24" t="n">
        <x:f>IF(SUM(K$96:K$105)&gt;0,MIN(MAX(0,I99-(0)),MAX(0,'Расчет'!F45-(0))*K99/SUM(K$96:K$105)),0)</x:f>
        <x:v>0</x:v>
      </x:c>
      <x:c r="M99" s="20" t="n">
        <x:f>IF(I99-(L99)&gt;0.000000001,J99,0)</x:f>
        <x:v>0</x:v>
      </x:c>
      <x:c r="N99" s="24" t="n">
        <x:f>IF(SUM(M$96:M$105)&gt;0,MIN(MAX(0,I99-(L99)),MAX(0,'Расчет'!F45-(SUM(L96:L105)))*M99/SUM(M$96:M$105)),0)</x:f>
        <x:v>0</x:v>
      </x:c>
      <x:c r="O99" s="20" t="n">
        <x:f>IF(I99-(L99+N99)&gt;0.000000001,J99,0)</x:f>
        <x:v>0</x:v>
      </x:c>
      <x:c r="P99" s="24" t="n">
        <x:f>IF(SUM(O$96:O$105)&gt;0,MIN(MAX(0,I99-(L99+N99)),MAX(0,'Расчет'!F45-(SUM(L96:L105)+SUM(N96:N105)))*O99/SUM(O$96:O$105)),0)</x:f>
        <x:v>0</x:v>
      </x:c>
      <x:c r="Q99" s="20" t="n">
        <x:f>IF(I99-(L99+N99+P99)&gt;0.000000001,J99,0)</x:f>
        <x:v>0</x:v>
      </x:c>
      <x:c r="R99" s="24" t="n">
        <x:f>IF(SUM(Q$96:Q$105)&gt;0,MIN(MAX(0,I99-(L99+N99+P99)),MAX(0,'Расчет'!F45-(SUM(L96:L105)+SUM(N96:N105)+SUM(P96:P105)))*Q99/SUM(Q$96:Q$105)),0)</x:f>
        <x:v>0</x:v>
      </x:c>
      <x:c r="S99" s="20" t="n">
        <x:f>IF(I99-(L99+N99+P99+R99)&gt;0.000000001,J99,0)</x:f>
        <x:v>0</x:v>
      </x:c>
      <x:c r="T99" s="24" t="n">
        <x:f>IF(SUM(S$96:S$105)&gt;0,MIN(MAX(0,I99-(L99+N99+P99+R99)),MAX(0,'Расчет'!F45-(SUM(L96:L105)+SUM(N96:N105)+SUM(P96:P105)+SUM(R96:R105)))*S99/SUM(S$96:S$105)),0)</x:f>
        <x:v>0</x:v>
      </x:c>
      <x:c r="U99" s="20" t="n">
        <x:f>SUM(L99,N99,P99,R99,T99)</x:f>
        <x:v>0</x:v>
      </x:c>
      <x:c r="V99" s="20" t="n">
        <x:f>0</x:f>
        <x:v>0</x:v>
      </x:c>
      <x:c r="W99" s="20" t="n">
        <x:f>0</x:f>
        <x:v>0</x:v>
      </x:c>
      <x:c r="X99" s="20" t="n">
        <x:f>G99</x:f>
        <x:v>0</x:v>
      </x:c>
      <x:c r="Y99" s="20" t="n">
        <x:f>H99+U99</x:f>
        <x:v>0</x:v>
      </x:c>
      <x:c r="Z99" s="20" t="n">
        <x:f>G99-V99</x:f>
        <x:v>0</x:v>
      </x:c>
      <x:c r="AA99" s="20" t="n">
        <x:f>Y99-W99</x:f>
        <x:v>0</x:v>
      </x:c>
      <x:c r="AB99" s="20" t="n">
        <x:f>Z99-AA99</x:f>
        <x:v>0</x:v>
      </x:c>
    </x:row>
    <x:row r="100" ht="21" customHeight="1">
      <x:c r="A100" s="2" t="str">
        <x:v>Бизнес</x:v>
      </x:c>
      <x:c r="B100" s="12" t="n">
        <x:v>2030</x:v>
      </x:c>
      <x:c r="C100" s="12" t="n">
        <x:v>2030</x:v>
      </x:c>
      <x:c r="D100" s="20" t="n">
        <x:f>Z90+Z89</x:f>
        <x:v>913.1702556460804</x:v>
      </x:c>
      <x:c r="E100" s="20" t="n">
        <x:f>AA90+AA89</x:f>
        <x:v>913.1702556460804</x:v>
      </x:c>
      <x:c r="F100" s="24" t="n">
        <x:f>'Расчет'!F36*'Допущения'!B25</x:f>
        <x:v>0</x:v>
      </x:c>
      <x:c r="G100" s="20" t="n">
        <x:f>D100+F100</x:f>
        <x:v>913.1702556460804</x:v>
      </x:c>
      <x:c r="H100" s="20" t="n">
        <x:f>E100</x:f>
        <x:v>913.1702556460804</x:v>
      </x:c>
      <x:c r="I100" s="20" t="n">
        <x:f>MAX(0,G100-H100)</x:f>
        <x:v>0</x:v>
      </x:c>
      <x:c r="J100" s="38" t="n">
        <x:f>'Допущения'!B30</x:f>
        <x:v>0.1357</x:v>
      </x:c>
      <x:c r="K100" s="39" t="n">
        <x:f>IF(I100-(0)&gt;0.000000001,J100,0)</x:f>
        <x:v>0</x:v>
      </x:c>
      <x:c r="L100" s="24" t="n">
        <x:f>IF(SUM(K$96:K$105)&gt;0,MIN(MAX(0,I100-(0)),MAX(0,'Расчет'!F45-(0))*K100/SUM(K$96:K$105)),0)</x:f>
        <x:v>0</x:v>
      </x:c>
      <x:c r="M100" s="20" t="n">
        <x:f>IF(I100-(L100)&gt;0.000000001,J100,0)</x:f>
        <x:v>0</x:v>
      </x:c>
      <x:c r="N100" s="24" t="n">
        <x:f>IF(SUM(M$96:M$105)&gt;0,MIN(MAX(0,I100-(L100)),MAX(0,'Расчет'!F45-(SUM(L96:L105)))*M100/SUM(M$96:M$105)),0)</x:f>
        <x:v>0</x:v>
      </x:c>
      <x:c r="O100" s="20" t="n">
        <x:f>IF(I100-(L100+N100)&gt;0.000000001,J100,0)</x:f>
        <x:v>0</x:v>
      </x:c>
      <x:c r="P100" s="24" t="n">
        <x:f>IF(SUM(O$96:O$105)&gt;0,MIN(MAX(0,I100-(L100+N100)),MAX(0,'Расчет'!F45-(SUM(L96:L105)+SUM(N96:N105)))*O100/SUM(O$96:O$105)),0)</x:f>
        <x:v>0</x:v>
      </x:c>
      <x:c r="Q100" s="20" t="n">
        <x:f>IF(I100-(L100+N100+P100)&gt;0.000000001,J100,0)</x:f>
        <x:v>0</x:v>
      </x:c>
      <x:c r="R100" s="24" t="n">
        <x:f>IF(SUM(Q$96:Q$105)&gt;0,MIN(MAX(0,I100-(L100+N100+P100)),MAX(0,'Расчет'!F45-(SUM(L96:L105)+SUM(N96:N105)+SUM(P96:P105)))*Q100/SUM(Q$96:Q$105)),0)</x:f>
        <x:v>0</x:v>
      </x:c>
      <x:c r="S100" s="20" t="n">
        <x:f>IF(I100-(L100+N100+P100+R100)&gt;0.000000001,J100,0)</x:f>
        <x:v>0</x:v>
      </x:c>
      <x:c r="T100" s="24" t="n">
        <x:f>IF(SUM(S$96:S$105)&gt;0,MIN(MAX(0,I100-(L100+N100+P100+R100)),MAX(0,'Расчет'!F45-(SUM(L96:L105)+SUM(N96:N105)+SUM(P96:P105)+SUM(R96:R105)))*S100/SUM(S$96:S$105)),0)</x:f>
        <x:v>0</x:v>
      </x:c>
      <x:c r="U100" s="20" t="n">
        <x:f>SUM(L100,N100,P100,R100,T100)</x:f>
        <x:v>0</x:v>
      </x:c>
      <x:c r="V100" s="24" t="n">
        <x:f>G100*(1-'Допущения'!F7)</x:f>
        <x:v>867.5117428637762</x:v>
      </x:c>
      <x:c r="W100" s="24" t="n">
        <x:f>Y100*(1-'Допущения'!F7)</x:f>
        <x:v>867.5117428637762</x:v>
      </x:c>
      <x:c r="X100" s="20" t="n">
        <x:f>G100</x:f>
        <x:v>913.1702556460804</x:v>
      </x:c>
      <x:c r="Y100" s="20" t="n">
        <x:f>H100+U100</x:f>
        <x:v>913.1702556460804</x:v>
      </x:c>
      <x:c r="Z100" s="20" t="n">
        <x:f>G100-V100</x:f>
        <x:v>45.658512782304115</x:v>
      </x:c>
      <x:c r="AA100" s="20" t="n">
        <x:f>Y100-W100</x:f>
        <x:v>45.658512782304115</x:v>
      </x:c>
      <x:c r="AB100" s="20" t="n">
        <x:f>Z100-AA100</x:f>
        <x:v>0</x:v>
      </x:c>
    </x:row>
    <x:row r="101" ht="21" customHeight="1">
      <x:c r="A101" s="2" t="str">
        <x:v>Бизнес</x:v>
      </x:c>
      <x:c r="B101" s="12" t="n">
        <x:v>2030</x:v>
      </x:c>
      <x:c r="C101" s="12" t="n">
        <x:v>2031</x:v>
      </x:c>
      <x:c r="D101" s="20" t="n">
        <x:f>Z91</x:f>
        <x:v>1039.519383888309</x:v>
      </x:c>
      <x:c r="E101" s="20" t="n">
        <x:f>AA91</x:f>
        <x:v>733.7254454378053</x:v>
      </x:c>
      <x:c r="F101" s="24" t="n">
        <x:f>'Расчет'!F36*'Допущения'!C25</x:f>
        <x:v>12.50135914355437</x:v>
      </x:c>
      <x:c r="G101" s="20" t="n">
        <x:f>D101+F101</x:f>
        <x:v>1052.0207430318633</x:v>
      </x:c>
      <x:c r="H101" s="20" t="n">
        <x:f>E101</x:f>
        <x:v>733.7254454378053</x:v>
      </x:c>
      <x:c r="I101" s="20" t="n">
        <x:f>MAX(0,G101-H101)</x:f>
        <x:v>318.29529759405796</x:v>
      </x:c>
      <x:c r="J101" s="38" t="n">
        <x:f>'Допущения'!C30</x:f>
        <x:v>0.3612</x:v>
      </x:c>
      <x:c r="K101" s="39" t="n">
        <x:f>IF(I101-(0)&gt;0.000000001,J101,0)</x:f>
        <x:v>0.3612</x:v>
      </x:c>
      <x:c r="L101" s="24" t="n">
        <x:f>IF(SUM(K$96:K$105)&gt;0,MIN(MAX(0,I101-(0)),MAX(0,'Расчет'!F45-(0))*K101/SUM(K$96:K$105)),0)</x:f>
        <x:v>318.29529759405796</x:v>
      </x:c>
      <x:c r="M101" s="20" t="n">
        <x:f>IF(I101-(L101)&gt;0.000000001,J101,0)</x:f>
        <x:v>0</x:v>
      </x:c>
      <x:c r="N101" s="24" t="n">
        <x:f>IF(SUM(M$96:M$105)&gt;0,MIN(MAX(0,I101-(L101)),MAX(0,'Расчет'!F45-(SUM(L96:L105)))*M101/SUM(M$96:M$105)),0)</x:f>
        <x:v>0</x:v>
      </x:c>
      <x:c r="O101" s="20" t="n">
        <x:f>IF(I101-(L101+N101)&gt;0.000000001,J101,0)</x:f>
        <x:v>0</x:v>
      </x:c>
      <x:c r="P101" s="24" t="n">
        <x:f>IF(SUM(O$96:O$105)&gt;0,MIN(MAX(0,I101-(L101+N101)),MAX(0,'Расчет'!F45-(SUM(L96:L105)+SUM(N96:N105)))*O101/SUM(O$96:O$105)),0)</x:f>
        <x:v>0</x:v>
      </x:c>
      <x:c r="Q101" s="20" t="n">
        <x:f>IF(I101-(L101+N101+P101)&gt;0.000000001,J101,0)</x:f>
        <x:v>0</x:v>
      </x:c>
      <x:c r="R101" s="24" t="n">
        <x:f>IF(SUM(Q$96:Q$105)&gt;0,MIN(MAX(0,I101-(L101+N101+P101)),MAX(0,'Расчет'!F45-(SUM(L96:L105)+SUM(N96:N105)+SUM(P96:P105)))*Q101/SUM(Q$96:Q$105)),0)</x:f>
        <x:v>0</x:v>
      </x:c>
      <x:c r="S101" s="20" t="n">
        <x:f>IF(I101-(L101+N101+P101+R101)&gt;0.000000001,J101,0)</x:f>
        <x:v>0</x:v>
      </x:c>
      <x:c r="T101" s="24" t="n">
        <x:f>IF(SUM(S$96:S$105)&gt;0,MIN(MAX(0,I101-(L101+N101+P101+R101)),MAX(0,'Расчет'!F45-(SUM(L96:L105)+SUM(N96:N105)+SUM(P96:P105)+SUM(R96:R105)))*S101/SUM(S$96:S$105)),0)</x:f>
        <x:v>0</x:v>
      </x:c>
      <x:c r="U101" s="20" t="n">
        <x:f>SUM(L101,N101,P101,R101,T101)</x:f>
        <x:v>318.29529759405796</x:v>
      </x:c>
      <x:c r="V101" s="20" t="n">
        <x:f>0</x:f>
        <x:v>0</x:v>
      </x:c>
      <x:c r="W101" s="20" t="n">
        <x:f>0</x:f>
        <x:v>0</x:v>
      </x:c>
      <x:c r="X101" s="20" t="n">
        <x:f>G101</x:f>
        <x:v>1052.0207430318633</x:v>
      </x:c>
      <x:c r="Y101" s="20" t="n">
        <x:f>H101+U101</x:f>
        <x:v>1052.0207430318633</x:v>
      </x:c>
      <x:c r="Z101" s="20" t="n">
        <x:f>G101-V101</x:f>
        <x:v>1052.0207430318633</x:v>
      </x:c>
      <x:c r="AA101" s="20" t="n">
        <x:f>Y101-W101</x:f>
        <x:v>1052.0207430318633</x:v>
      </x:c>
      <x:c r="AB101" s="20" t="n">
        <x:f>Z101-AA101</x:f>
        <x:v>0</x:v>
      </x:c>
    </x:row>
    <x:row r="102" ht="21" customHeight="1">
      <x:c r="A102" s="2" t="str">
        <x:v>Бизнес</x:v>
      </x:c>
      <x:c r="B102" s="12" t="n">
        <x:v>2030</x:v>
      </x:c>
      <x:c r="C102" s="12" t="n">
        <x:v>2032</x:v>
      </x:c>
      <x:c r="D102" s="20" t="n">
        <x:f>Z92</x:f>
        <x:v>1061.514021361412</x:v>
      </x:c>
      <x:c r="E102" s="20" t="n">
        <x:f>AA92</x:f>
        <x:v>294.30208611678484</x:v>
      </x:c>
      <x:c r="F102" s="24" t="n">
        <x:f>'Расчет'!F36*'Допущения'!D25</x:f>
        <x:v>74.13462254127654</x:v>
      </x:c>
      <x:c r="G102" s="20" t="n">
        <x:f>D102+F102</x:f>
        <x:v>1135.6486439026885</x:v>
      </x:c>
      <x:c r="H102" s="20" t="n">
        <x:f>E102</x:f>
        <x:v>294.30208611678484</x:v>
      </x:c>
      <x:c r="I102" s="20" t="n">
        <x:f>MAX(0,G102-H102)</x:f>
        <x:v>841.3465577859037</x:v>
      </x:c>
      <x:c r="J102" s="38" t="n">
        <x:f>'Допущения'!D30</x:f>
        <x:v>0.3111</x:v>
      </x:c>
      <x:c r="K102" s="39" t="n">
        <x:f>IF(I102-(0)&gt;0.000000001,J102,0)</x:f>
        <x:v>0.3111</x:v>
      </x:c>
      <x:c r="L102" s="24" t="n">
        <x:f>IF(SUM(K$96:K$105)&gt;0,MIN(MAX(0,I102-(0)),MAX(0,'Расчет'!F45-(0))*K102/SUM(K$96:K$105)),0)</x:f>
        <x:v>459.3980977998109</x:v>
      </x:c>
      <x:c r="M102" s="20" t="n">
        <x:f>IF(I102-(L102)&gt;0.000000001,J102,0)</x:f>
        <x:v>0.3111</x:v>
      </x:c>
      <x:c r="N102" s="24" t="n">
        <x:f>IF(SUM(M$96:M$105)&gt;0,MIN(MAX(0,I102-(L102)),MAX(0,'Расчет'!F45-(SUM(L96:L105)))*M102/SUM(M$96:M$105)),0)</x:f>
        <x:v>133.00124397491598</x:v>
      </x:c>
      <x:c r="O102" s="20" t="n">
        <x:f>IF(I102-(L102+N102)&gt;0.000000001,J102,0)</x:f>
        <x:v>0.3111</x:v>
      </x:c>
      <x:c r="P102" s="24" t="n">
        <x:f>IF(SUM(O$96:O$105)&gt;0,MIN(MAX(0,I102-(L102+N102)),MAX(0,'Расчет'!F45-(SUM(L96:L105)+SUM(N96:N105)))*O102/SUM(O$96:O$105)),0)</x:f>
        <x:v>0</x:v>
      </x:c>
      <x:c r="Q102" s="20" t="n">
        <x:f>IF(I102-(L102+N102+P102)&gt;0.000000001,J102,0)</x:f>
        <x:v>0.3111</x:v>
      </x:c>
      <x:c r="R102" s="24" t="n">
        <x:f>IF(SUM(Q$96:Q$105)&gt;0,MIN(MAX(0,I102-(L102+N102+P102)),MAX(0,'Расчет'!F45-(SUM(L96:L105)+SUM(N96:N105)+SUM(P96:P105)))*Q102/SUM(Q$96:Q$105)),0)</x:f>
        <x:v>0</x:v>
      </x:c>
      <x:c r="S102" s="20" t="n">
        <x:f>IF(I102-(L102+N102+P102+R102)&gt;0.000000001,J102,0)</x:f>
        <x:v>0.3111</x:v>
      </x:c>
      <x:c r="T102" s="24" t="n">
        <x:f>IF(SUM(S$96:S$105)&gt;0,MIN(MAX(0,I102-(L102+N102+P102+R102)),MAX(0,'Расчет'!F45-(SUM(L96:L105)+SUM(N96:N105)+SUM(P96:P105)+SUM(R96:R105)))*S102/SUM(S$96:S$105)),0)</x:f>
        <x:v>0</x:v>
      </x:c>
      <x:c r="U102" s="20" t="n">
        <x:f>SUM(L102,N102,P102,R102,T102)</x:f>
        <x:v>592.3993417747268</x:v>
      </x:c>
      <x:c r="V102" s="20" t="n">
        <x:f>0</x:f>
        <x:v>0</x:v>
      </x:c>
      <x:c r="W102" s="20" t="n">
        <x:f>0</x:f>
        <x:v>0</x:v>
      </x:c>
      <x:c r="X102" s="20" t="n">
        <x:f>G102</x:f>
        <x:v>1135.6486439026885</x:v>
      </x:c>
      <x:c r="Y102" s="20" t="n">
        <x:f>H102+U102</x:f>
        <x:v>886.7014278915117</x:v>
      </x:c>
      <x:c r="Z102" s="20" t="n">
        <x:f>G102-V102</x:f>
        <x:v>1135.6486439026885</x:v>
      </x:c>
      <x:c r="AA102" s="20" t="n">
        <x:f>Y102-W102</x:f>
        <x:v>886.7014278915117</x:v>
      </x:c>
      <x:c r="AB102" s="20" t="n">
        <x:f>Z102-AA102</x:f>
        <x:v>248.9472160111768</x:v>
      </x:c>
    </x:row>
    <x:row r="103" ht="21" customHeight="1">
      <x:c r="A103" s="2" t="str">
        <x:v>Бизнес</x:v>
      </x:c>
      <x:c r="B103" s="12" t="n">
        <x:v>2030</x:v>
      </x:c>
      <x:c r="C103" s="12" t="n">
        <x:v>2033</x:v>
      </x:c>
      <x:c r="D103" s="20" t="n">
        <x:f>Z93</x:f>
        <x:v>717.0472816545349</x:v>
      </x:c>
      <x:c r="E103" s="20" t="n">
        <x:f>AA93</x:f>
        <x:v>68.68618403093923</x:v>
      </x:c>
      <x:c r="F103" s="24" t="n">
        <x:f>'Расчет'!F36*'Допущения'!E25</x:f>
        <x:v>408.93082620051996</x:v>
      </x:c>
      <x:c r="G103" s="20" t="n">
        <x:f>D103+F103</x:f>
        <x:v>1125.978107855055</x:v>
      </x:c>
      <x:c r="H103" s="20" t="n">
        <x:f>E103</x:f>
        <x:v>68.68618403093923</x:v>
      </x:c>
      <x:c r="I103" s="20" t="n">
        <x:f>MAX(0,G103-H103)</x:f>
        <x:v>1057.2919238241157</x:v>
      </x:c>
      <x:c r="J103" s="38" t="n">
        <x:f>'Допущения'!E30</x:f>
        <x:v>0.1495</x:v>
      </x:c>
      <x:c r="K103" s="39" t="n">
        <x:f>IF(I103-(0)&gt;0.000000001,J103,0)</x:f>
        <x:v>0.1495</x:v>
      </x:c>
      <x:c r="L103" s="24" t="n">
        <x:f>IF(SUM(K$96:K$105)&gt;0,MIN(MAX(0,I103-(0)),MAX(0,'Расчет'!F45-(0))*K103/SUM(K$96:K$105)),0)</x:f>
        <x:v>220.76507753478538</x:v>
      </x:c>
      <x:c r="M103" s="20" t="n">
        <x:f>IF(I103-(L103)&gt;0.000000001,J103,0)</x:f>
        <x:v>0.1495</x:v>
      </x:c>
      <x:c r="N103" s="24" t="n">
        <x:f>IF(SUM(M$96:M$105)&gt;0,MIN(MAX(0,I103-(L103)),MAX(0,'Расчет'!F45-(SUM(L96:L105)))*M103/SUM(M$96:M$105)),0)</x:f>
        <x:v>63.914130421889865</x:v>
      </x:c>
      <x:c r="O103" s="20" t="n">
        <x:f>IF(I103-(L103+N103)&gt;0.000000001,J103,0)</x:f>
        <x:v>0.1495</x:v>
      </x:c>
      <x:c r="P103" s="24" t="n">
        <x:f>IF(SUM(O$96:O$105)&gt;0,MIN(MAX(0,I103-(L103+N103)),MAX(0,'Расчет'!F45-(SUM(L96:L105)+SUM(N96:N105)))*O103/SUM(O$96:O$105)),0)</x:f>
        <x:v>0</x:v>
      </x:c>
      <x:c r="Q103" s="20" t="n">
        <x:f>IF(I103-(L103+N103+P103)&gt;0.000000001,J103,0)</x:f>
        <x:v>0.1495</x:v>
      </x:c>
      <x:c r="R103" s="24" t="n">
        <x:f>IF(SUM(Q$96:Q$105)&gt;0,MIN(MAX(0,I103-(L103+N103+P103)),MAX(0,'Расчет'!F45-(SUM(L96:L105)+SUM(N96:N105)+SUM(P96:P105)))*Q103/SUM(Q$96:Q$105)),0)</x:f>
        <x:v>0</x:v>
      </x:c>
      <x:c r="S103" s="20" t="n">
        <x:f>IF(I103-(L103+N103+P103+R103)&gt;0.000000001,J103,0)</x:f>
        <x:v>0.1495</x:v>
      </x:c>
      <x:c r="T103" s="24" t="n">
        <x:f>IF(SUM(S$96:S$105)&gt;0,MIN(MAX(0,I103-(L103+N103+P103+R103)),MAX(0,'Расчет'!F45-(SUM(L96:L105)+SUM(N96:N105)+SUM(P96:P105)+SUM(R96:R105)))*S103/SUM(S$96:S$105)),0)</x:f>
        <x:v>0</x:v>
      </x:c>
      <x:c r="U103" s="20" t="n">
        <x:f>SUM(L103,N103,P103,R103,T103)</x:f>
        <x:v>284.6792079566752</x:v>
      </x:c>
      <x:c r="V103" s="20" t="n">
        <x:f>0</x:f>
        <x:v>0</x:v>
      </x:c>
      <x:c r="W103" s="20" t="n">
        <x:f>0</x:f>
        <x:v>0</x:v>
      </x:c>
      <x:c r="X103" s="20" t="n">
        <x:f>G103</x:f>
        <x:v>1125.978107855055</x:v>
      </x:c>
      <x:c r="Y103" s="20" t="n">
        <x:f>H103+U103</x:f>
        <x:v>353.36539198761443</x:v>
      </x:c>
      <x:c r="Z103" s="20" t="n">
        <x:f>G103-V103</x:f>
        <x:v>1125.978107855055</x:v>
      </x:c>
      <x:c r="AA103" s="20" t="n">
        <x:f>Y103-W103</x:f>
        <x:v>353.36539198761443</x:v>
      </x:c>
      <x:c r="AB103" s="20" t="n">
        <x:f>Z103-AA103</x:f>
        <x:v>772.6127158674406</x:v>
      </x:c>
    </x:row>
    <x:row r="104" ht="21" customHeight="1">
      <x:c r="A104" s="2" t="str">
        <x:v>Бизнес</x:v>
      </x:c>
      <x:c r="B104" s="12" t="n">
        <x:v>2030</x:v>
      </x:c>
      <x:c r="C104" s="12" t="n">
        <x:v>2034</x:v>
      </x:c>
      <x:c r="D104" s="20" t="n">
        <x:f>Z94</x:f>
        <x:v>50.19207841931983</x:v>
      </x:c>
      <x:c r="E104" s="20" t="n">
        <x:f>AA94</x:f>
        <x:v>0</x:v>
      </x:c>
      <x:c r="F104" s="24" t="n">
        <x:f>'Расчет'!F36*'Допущения'!F25</x:f>
        <x:v>693.3966776896751</x:v>
      </x:c>
      <x:c r="G104" s="20" t="n">
        <x:f>D104+F104</x:f>
        <x:v>743.588756108995</x:v>
      </x:c>
      <x:c r="H104" s="20" t="n">
        <x:f>E104</x:f>
        <x:v>0</x:v>
      </x:c>
      <x:c r="I104" s="20" t="n">
        <x:f>MAX(0,G104-H104)</x:f>
        <x:v>743.588756108995</x:v>
      </x:c>
      <x:c r="J104" s="38" t="n">
        <x:f>'Допущения'!F30</x:f>
        <x:v>0.0425</x:v>
      </x:c>
      <x:c r="K104" s="39" t="n">
        <x:f>IF(I104-(0)&gt;0.000000001,J104,0)</x:f>
        <x:v>0.0425</x:v>
      </x:c>
      <x:c r="L104" s="24" t="n">
        <x:f>IF(SUM(K$96:K$105)&gt;0,MIN(MAX(0,I104-(0)),MAX(0,'Расчет'!F45-(0))*K104/SUM(K$96:K$105)),0)</x:f>
        <x:v>62.75930297811625</x:v>
      </x:c>
      <x:c r="M104" s="20" t="n">
        <x:f>IF(I104-(L104)&gt;0.000000001,J104,0)</x:f>
        <x:v>0.0425</x:v>
      </x:c>
      <x:c r="N104" s="24" t="n">
        <x:f>IF(SUM(M$96:M$105)&gt;0,MIN(MAX(0,I104-(L104)),MAX(0,'Расчет'!F45-(SUM(L96:L105)))*M104/SUM(M$96:M$105)),0)</x:f>
        <x:v>18.16956884903224</x:v>
      </x:c>
      <x:c r="O104" s="20" t="n">
        <x:f>IF(I104-(L104+N104)&gt;0.000000001,J104,0)</x:f>
        <x:v>0.0425</x:v>
      </x:c>
      <x:c r="P104" s="24" t="n">
        <x:f>IF(SUM(O$96:O$105)&gt;0,MIN(MAX(0,I104-(L104+N104)),MAX(0,'Расчет'!F45-(SUM(L96:L105)+SUM(N96:N105)))*O104/SUM(O$96:O$105)),0)</x:f>
        <x:v>0</x:v>
      </x:c>
      <x:c r="Q104" s="20" t="n">
        <x:f>IF(I104-(L104+N104+P104)&gt;0.000000001,J104,0)</x:f>
        <x:v>0.0425</x:v>
      </x:c>
      <x:c r="R104" s="24" t="n">
        <x:f>IF(SUM(Q$96:Q$105)&gt;0,MIN(MAX(0,I104-(L104+N104+P104)),MAX(0,'Расчет'!F45-(SUM(L96:L105)+SUM(N96:N105)+SUM(P96:P105)))*Q104/SUM(Q$96:Q$105)),0)</x:f>
        <x:v>0</x:v>
      </x:c>
      <x:c r="S104" s="20" t="n">
        <x:f>IF(I104-(L104+N104+P104+R104)&gt;0.000000001,J104,0)</x:f>
        <x:v>0.0425</x:v>
      </x:c>
      <x:c r="T104" s="24" t="n">
        <x:f>IF(SUM(S$96:S$105)&gt;0,MIN(MAX(0,I104-(L104+N104+P104+R104)),MAX(0,'Расчет'!F45-(SUM(L96:L105)+SUM(N96:N105)+SUM(P96:P105)+SUM(R96:R105)))*S104/SUM(S$96:S$105)),0)</x:f>
        <x:v>0</x:v>
      </x:c>
      <x:c r="U104" s="20" t="n">
        <x:f>SUM(L104,N104,P104,R104,T104)</x:f>
        <x:v>80.9288718271485</x:v>
      </x:c>
      <x:c r="V104" s="20" t="n">
        <x:f>0</x:f>
        <x:v>0</x:v>
      </x:c>
      <x:c r="W104" s="20" t="n">
        <x:f>0</x:f>
        <x:v>0</x:v>
      </x:c>
      <x:c r="X104" s="20" t="n">
        <x:f>G104</x:f>
        <x:v>743.588756108995</x:v>
      </x:c>
      <x:c r="Y104" s="20" t="n">
        <x:f>H104+U104</x:f>
        <x:v>80.9288718271485</x:v>
      </x:c>
      <x:c r="Z104" s="20" t="n">
        <x:f>G104-V104</x:f>
        <x:v>743.588756108995</x:v>
      </x:c>
      <x:c r="AA104" s="20" t="n">
        <x:f>Y104-W104</x:f>
        <x:v>80.9288718271485</x:v>
      </x:c>
      <x:c r="AB104" s="20" t="n">
        <x:f>Z104-AA104</x:f>
        <x:v>662.6598842818464</x:v>
      </x:c>
    </x:row>
    <x:row r="105" ht="21" customHeight="1">
      <x:c r="A105" s="2" t="str">
        <x:v>Бизнес</x:v>
      </x:c>
      <x:c r="B105" s="12" t="n">
        <x:v>2030</x:v>
      </x:c>
      <x:c r="C105" s="12" t="n">
        <x:v>2035</x:v>
      </x:c>
      <x:c r="D105" s="20" t="n">
        <x:f>Z95</x:f>
        <x:v>0</x:v>
      </x:c>
      <x:c r="E105" s="20" t="n">
        <x:f>AA95</x:f>
        <x:v>0</x:v>
      </x:c>
      <x:c r="F105" s="24" t="n">
        <x:f>'Расчет'!F36*'Допущения'!G25</x:f>
        <x:v>51.92439425922837</x:v>
      </x:c>
      <x:c r="G105" s="20" t="n">
        <x:f>D105+F105</x:f>
        <x:v>51.92439425922837</x:v>
      </x:c>
      <x:c r="H105" s="20" t="n">
        <x:f>E105</x:f>
        <x:v>0</x:v>
      </x:c>
      <x:c r="I105" s="20" t="n">
        <x:f>MAX(0,G105-H105)</x:f>
        <x:v>51.92439425922837</x:v>
      </x:c>
      <x:c r="J105" s="39" t="n">
        <x:f>0</x:f>
        <x:v>0</x:v>
      </x:c>
      <x:c r="K105" s="39" t="n">
        <x:f>IF(I105-(0)&gt;0.000000001,J105,0)</x:f>
        <x:v>0</x:v>
      </x:c>
      <x:c r="L105" s="24" t="n">
        <x:f>IF(SUM(K$96:K$105)&gt;0,MIN(MAX(0,I105-(0)),MAX(0,'Расчет'!F45-(0))*K105/SUM(K$96:K$105)),0)</x:f>
        <x:v>0</x:v>
      </x:c>
      <x:c r="M105" s="20" t="n">
        <x:f>IF(I105-(L105)&gt;0.000000001,J105,0)</x:f>
        <x:v>0</x:v>
      </x:c>
      <x:c r="N105" s="24" t="n">
        <x:f>IF(SUM(M$96:M$105)&gt;0,MIN(MAX(0,I105-(L105)),MAX(0,'Расчет'!F45-(SUM(L96:L105)))*M105/SUM(M$96:M$105)),0)</x:f>
        <x:v>0</x:v>
      </x:c>
      <x:c r="O105" s="20" t="n">
        <x:f>IF(I105-(L105+N105)&gt;0.000000001,J105,0)</x:f>
        <x:v>0</x:v>
      </x:c>
      <x:c r="P105" s="24" t="n">
        <x:f>IF(SUM(O$96:O$105)&gt;0,MIN(MAX(0,I105-(L105+N105)),MAX(0,'Расчет'!F45-(SUM(L96:L105)+SUM(N96:N105)))*O105/SUM(O$96:O$105)),0)</x:f>
        <x:v>0</x:v>
      </x:c>
      <x:c r="Q105" s="20" t="n">
        <x:f>IF(I105-(L105+N105+P105)&gt;0.000000001,J105,0)</x:f>
        <x:v>0</x:v>
      </x:c>
      <x:c r="R105" s="24" t="n">
        <x:f>IF(SUM(Q$96:Q$105)&gt;0,MIN(MAX(0,I105-(L105+N105+P105)),MAX(0,'Расчет'!F45-(SUM(L96:L105)+SUM(N96:N105)+SUM(P96:P105)))*Q105/SUM(Q$96:Q$105)),0)</x:f>
        <x:v>0</x:v>
      </x:c>
      <x:c r="S105" s="20" t="n">
        <x:f>IF(I105-(L105+N105+P105+R105)&gt;0.000000001,J105,0)</x:f>
        <x:v>0</x:v>
      </x:c>
      <x:c r="T105" s="24" t="n">
        <x:f>IF(SUM(S$96:S$105)&gt;0,MIN(MAX(0,I105-(L105+N105+P105+R105)),MAX(0,'Расчет'!F45-(SUM(L96:L105)+SUM(N96:N105)+SUM(P96:P105)+SUM(R96:R105)))*S105/SUM(S$96:S$105)),0)</x:f>
        <x:v>0</x:v>
      </x:c>
      <x:c r="U105" s="20" t="n">
        <x:f>SUM(L105,N105,P105,R105,T105)</x:f>
        <x:v>0</x:v>
      </x:c>
      <x:c r="V105" s="20" t="n">
        <x:f>0</x:f>
        <x:v>0</x:v>
      </x:c>
      <x:c r="W105" s="20" t="n">
        <x:f>0</x:f>
        <x:v>0</x:v>
      </x:c>
      <x:c r="X105" s="20" t="n">
        <x:f>G105</x:f>
        <x:v>51.92439425922837</x:v>
      </x:c>
      <x:c r="Y105" s="20" t="n">
        <x:f>H105+U105</x:f>
        <x:v>0</x:v>
      </x:c>
      <x:c r="Z105" s="20" t="n">
        <x:f>G105-V105</x:f>
        <x:v>51.92439425922837</x:v>
      </x:c>
      <x:c r="AA105" s="20" t="n">
        <x:f>Y105-W105</x:f>
        <x:v>0</x:v>
      </x:c>
      <x:c r="AB105" s="20" t="n">
        <x:f>Z105-AA105</x:f>
        <x:v>51.92439425922837</x:v>
      </x:c>
    </x:row>
    <x:row r="106" ht="21" customHeight="1">
      <x:c r="A106" s="2" t="str">
        <x:v>Элитный</x:v>
      </x:c>
      <x:c r="B106" s="12" t="n">
        <x:v>2026</x:v>
      </x:c>
      <x:c r="C106" s="12" t="n">
        <x:v>2026</x:v>
      </x:c>
      <x:c r="D106" s="24" t="n">
        <x:f>'Данные'!C26</x:f>
        <x:v>461.44370999999984</x:v>
      </x:c>
      <x:c r="E106" s="24" t="n">
        <x:f>'Данные'!D26</x:f>
        <x:v>290.16600000000005</x:v>
      </x:c>
      <x:c r="F106" s="24" t="n">
        <x:f>'Расчет'!B64*'Допущения'!B26</x:f>
        <x:v>0</x:v>
      </x:c>
      <x:c r="G106" s="20" t="n">
        <x:f>D106+F106</x:f>
        <x:v>461.44370999999984</x:v>
      </x:c>
      <x:c r="H106" s="20" t="n">
        <x:f>E106</x:f>
        <x:v>290.16600000000005</x:v>
      </x:c>
      <x:c r="I106" s="20" t="n">
        <x:f>MAX(0,G106-H106)</x:f>
        <x:v>171.2777099999998</x:v>
      </x:c>
      <x:c r="J106" s="38" t="n">
        <x:f>'Допущения'!B30</x:f>
        <x:v>0.1357</x:v>
      </x:c>
      <x:c r="K106" s="39" t="n">
        <x:f>IF(I106-(0)&gt;0.000000001,J106,0)</x:f>
        <x:v>0.1357</x:v>
      </x:c>
      <x:c r="L106" s="24" t="n">
        <x:f>IF(SUM(K$106:K$115)&gt;0,MIN(MAX(0,I106-(0)),MAX(0,'Расчет'!B73-(0))*K106/SUM(K$106:K$115)),0)</x:f>
        <x:v>11.10868147549481</x:v>
      </x:c>
      <x:c r="M106" s="20" t="n">
        <x:f>IF(I106-(L106)&gt;0.000000001,J106,0)</x:f>
        <x:v>0.1357</x:v>
      </x:c>
      <x:c r="N106" s="24" t="n">
        <x:f>IF(SUM(M$106:M$115)&gt;0,MIN(MAX(0,I106-(L106)),MAX(0,'Расчет'!B73-(SUM(L106:L115)))*M106/SUM(M$106:M$115)),0)</x:f>
        <x:v>0</x:v>
      </x:c>
      <x:c r="O106" s="20" t="n">
        <x:f>IF(I106-(L106+N106)&gt;0.000000001,J106,0)</x:f>
        <x:v>0.1357</x:v>
      </x:c>
      <x:c r="P106" s="24" t="n">
        <x:f>IF(SUM(O$106:O$115)&gt;0,MIN(MAX(0,I106-(L106+N106)),MAX(0,'Расчет'!B73-(SUM(L106:L115)+SUM(N106:N115)))*O106/SUM(O$106:O$115)),0)</x:f>
        <x:v>0</x:v>
      </x:c>
      <x:c r="Q106" s="20" t="n">
        <x:f>IF(I106-(L106+N106+P106)&gt;0.000000001,J106,0)</x:f>
        <x:v>0.1357</x:v>
      </x:c>
      <x:c r="R106" s="24" t="n">
        <x:f>IF(SUM(Q$106:Q$115)&gt;0,MIN(MAX(0,I106-(L106+N106+P106)),MAX(0,'Расчет'!B73-(SUM(L106:L115)+SUM(N106:N115)+SUM(P106:P115)))*Q106/SUM(Q$106:Q$115)),0)</x:f>
        <x:v>0</x:v>
      </x:c>
      <x:c r="S106" s="20" t="n">
        <x:f>IF(I106-(L106+N106+P106+R106)&gt;0.000000001,J106,0)</x:f>
        <x:v>0.1357</x:v>
      </x:c>
      <x:c r="T106" s="24" t="n">
        <x:f>IF(SUM(S$106:S$115)&gt;0,MIN(MAX(0,I106-(L106+N106+P106+R106)),MAX(0,'Расчет'!B73-(SUM(L106:L115)+SUM(N106:N115)+SUM(P106:P115)+SUM(R106:R115)))*S106/SUM(S$106:S$115)),0)</x:f>
        <x:v>0</x:v>
      </x:c>
      <x:c r="U106" s="20" t="n">
        <x:f>SUM(L106,N106,P106,R106,T106)</x:f>
        <x:v>11.10868147549481</x:v>
      </x:c>
      <x:c r="V106" s="24" t="n">
        <x:f>G106*(1-'Допущения'!B7)</x:f>
        <x:v>369.1549679999999</x:v>
      </x:c>
      <x:c r="W106" s="24" t="n">
        <x:f>Y106*(1-'Допущения'!B7)</x:f>
        <x:v>241.0197451803959</x:v>
      </x:c>
      <x:c r="X106" s="20" t="n">
        <x:f>G106</x:f>
        <x:v>461.44370999999984</x:v>
      </x:c>
      <x:c r="Y106" s="20" t="n">
        <x:f>H106+U106</x:f>
        <x:v>301.27468147549484</x:v>
      </x:c>
      <x:c r="Z106" s="20" t="n">
        <x:f>G106-V106</x:f>
        <x:v>92.28874199999996</x:v>
      </x:c>
      <x:c r="AA106" s="20" t="n">
        <x:f>Y106-W106</x:f>
        <x:v>60.25493629509896</x:v>
      </x:c>
      <x:c r="AB106" s="20" t="n">
        <x:f>Z106-AA106</x:f>
        <x:v>32.033805704901</x:v>
      </x:c>
    </x:row>
    <x:row r="107" ht="21" customHeight="1">
      <x:c r="A107" s="2" t="str">
        <x:v>Элитный</x:v>
      </x:c>
      <x:c r="B107" s="12" t="n">
        <x:v>2026</x:v>
      </x:c>
      <x:c r="C107" s="12" t="n">
        <x:v>2027</x:v>
      </x:c>
      <x:c r="D107" s="24" t="n">
        <x:f>'Данные'!C27</x:f>
        <x:v>1548.4775599999998</x:v>
      </x:c>
      <x:c r="E107" s="24" t="n">
        <x:f>'Данные'!D27</x:f>
        <x:v>655.4794599999999</x:v>
      </x:c>
      <x:c r="F107" s="24" t="n">
        <x:f>'Расчет'!B64*'Допущения'!C26</x:f>
        <x:v>0</x:v>
      </x:c>
      <x:c r="G107" s="20" t="n">
        <x:f>D107+F107</x:f>
        <x:v>1548.4775599999998</x:v>
      </x:c>
      <x:c r="H107" s="20" t="n">
        <x:f>E107</x:f>
        <x:v>655.4794599999999</x:v>
      </x:c>
      <x:c r="I107" s="20" t="n">
        <x:f>MAX(0,G107-H107)</x:f>
        <x:v>892.9980999999999</x:v>
      </x:c>
      <x:c r="J107" s="38" t="n">
        <x:f>'Допущения'!C30</x:f>
        <x:v>0.3612</x:v>
      </x:c>
      <x:c r="K107" s="39" t="n">
        <x:f>IF(I107-(0)&gt;0.000000001,J107,0)</x:f>
        <x:v>0.3612</x:v>
      </x:c>
      <x:c r="L107" s="24" t="n">
        <x:f>IF(SUM(K$106:K$115)&gt;0,MIN(MAX(0,I107-(0)),MAX(0,'Расчет'!B73-(0))*K107/SUM(K$106:K$115)),0)</x:f>
        <x:v>29.56857589497956</x:v>
      </x:c>
      <x:c r="M107" s="20" t="n">
        <x:f>IF(I107-(L107)&gt;0.000000001,J107,0)</x:f>
        <x:v>0.3612</x:v>
      </x:c>
      <x:c r="N107" s="24" t="n">
        <x:f>IF(SUM(M$106:M$115)&gt;0,MIN(MAX(0,I107-(L107)),MAX(0,'Расчет'!B73-(SUM(L106:L115)))*M107/SUM(M$106:M$115)),0)</x:f>
        <x:v>0</x:v>
      </x:c>
      <x:c r="O107" s="20" t="n">
        <x:f>IF(I107-(L107+N107)&gt;0.000000001,J107,0)</x:f>
        <x:v>0.3612</x:v>
      </x:c>
      <x:c r="P107" s="24" t="n">
        <x:f>IF(SUM(O$106:O$115)&gt;0,MIN(MAX(0,I107-(L107+N107)),MAX(0,'Расчет'!B73-(SUM(L106:L115)+SUM(N106:N115)))*O107/SUM(O$106:O$115)),0)</x:f>
        <x:v>0</x:v>
      </x:c>
      <x:c r="Q107" s="20" t="n">
        <x:f>IF(I107-(L107+N107+P107)&gt;0.000000001,J107,0)</x:f>
        <x:v>0.3612</x:v>
      </x:c>
      <x:c r="R107" s="24" t="n">
        <x:f>IF(SUM(Q$106:Q$115)&gt;0,MIN(MAX(0,I107-(L107+N107+P107)),MAX(0,'Расчет'!B73-(SUM(L106:L115)+SUM(N106:N115)+SUM(P106:P115)))*Q107/SUM(Q$106:Q$115)),0)</x:f>
        <x:v>0</x:v>
      </x:c>
      <x:c r="S107" s="20" t="n">
        <x:f>IF(I107-(L107+N107+P107+R107)&gt;0.000000001,J107,0)</x:f>
        <x:v>0.3612</x:v>
      </x:c>
      <x:c r="T107" s="24" t="n">
        <x:f>IF(SUM(S$106:S$115)&gt;0,MIN(MAX(0,I107-(L107+N107+P107+R107)),MAX(0,'Расчет'!B73-(SUM(L106:L115)+SUM(N106:N115)+SUM(P106:P115)+SUM(R106:R115)))*S107/SUM(S$106:S$115)),0)</x:f>
        <x:v>0</x:v>
      </x:c>
      <x:c r="U107" s="20" t="n">
        <x:f>SUM(L107,N107,P107,R107,T107)</x:f>
        <x:v>29.56857589497956</x:v>
      </x:c>
      <x:c r="V107" s="20" t="n">
        <x:f>0</x:f>
        <x:v>0</x:v>
      </x:c>
      <x:c r="W107" s="20" t="n">
        <x:f>0</x:f>
        <x:v>0</x:v>
      </x:c>
      <x:c r="X107" s="20" t="n">
        <x:f>G107</x:f>
        <x:v>1548.4775599999998</x:v>
      </x:c>
      <x:c r="Y107" s="20" t="n">
        <x:f>H107+U107</x:f>
        <x:v>685.0480358949794</x:v>
      </x:c>
      <x:c r="Z107" s="20" t="n">
        <x:f>G107-V107</x:f>
        <x:v>1548.4775599999998</x:v>
      </x:c>
      <x:c r="AA107" s="20" t="n">
        <x:f>Y107-W107</x:f>
        <x:v>685.0480358949794</x:v>
      </x:c>
      <x:c r="AB107" s="20" t="n">
        <x:f>Z107-AA107</x:f>
        <x:v>863.4295241050204</x:v>
      </x:c>
    </x:row>
    <x:row r="108" ht="21" customHeight="1">
      <x:c r="A108" s="2" t="str">
        <x:v>Элитный</x:v>
      </x:c>
      <x:c r="B108" s="12" t="n">
        <x:v>2026</x:v>
      </x:c>
      <x:c r="C108" s="12" t="n">
        <x:v>2028</x:v>
      </x:c>
      <x:c r="D108" s="24" t="n">
        <x:f>'Данные'!C28</x:f>
        <x:v>791.38897</x:v>
      </x:c>
      <x:c r="E108" s="24" t="n">
        <x:f>'Данные'!D28</x:f>
        <x:v>247.53763000000004</x:v>
      </x:c>
      <x:c r="F108" s="24" t="n">
        <x:f>'Расчет'!B64*'Допущения'!D26</x:f>
        <x:v>0</x:v>
      </x:c>
      <x:c r="G108" s="20" t="n">
        <x:f>D108+F108</x:f>
        <x:v>791.38897</x:v>
      </x:c>
      <x:c r="H108" s="20" t="n">
        <x:f>E108</x:f>
        <x:v>247.53763000000004</x:v>
      </x:c>
      <x:c r="I108" s="20" t="n">
        <x:f>MAX(0,G108-H108)</x:f>
        <x:v>543.8513399999999</x:v>
      </x:c>
      <x:c r="J108" s="38" t="n">
        <x:f>'Допущения'!D30</x:f>
        <x:v>0.3111</x:v>
      </x:c>
      <x:c r="K108" s="39" t="n">
        <x:f>IF(I108-(0)&gt;0.000000001,J108,0)</x:f>
        <x:v>0.3111</x:v>
      </x:c>
      <x:c r="L108" s="24" t="n">
        <x:f>IF(SUM(K$106:K$115)&gt;0,MIN(MAX(0,I108-(0)),MAX(0,'Расчет'!B73-(0))*K108/SUM(K$106:K$115)),0)</x:f>
        <x:v>25.467286713533056</x:v>
      </x:c>
      <x:c r="M108" s="20" t="n">
        <x:f>IF(I108-(L108)&gt;0.000000001,J108,0)</x:f>
        <x:v>0.3111</x:v>
      </x:c>
      <x:c r="N108" s="24" t="n">
        <x:f>IF(SUM(M$106:M$115)&gt;0,MIN(MAX(0,I108-(L108)),MAX(0,'Расчет'!B73-(SUM(L106:L115)))*M108/SUM(M$106:M$115)),0)</x:f>
        <x:v>0</x:v>
      </x:c>
      <x:c r="O108" s="20" t="n">
        <x:f>IF(I108-(L108+N108)&gt;0.000000001,J108,0)</x:f>
        <x:v>0.3111</x:v>
      </x:c>
      <x:c r="P108" s="24" t="n">
        <x:f>IF(SUM(O$106:O$115)&gt;0,MIN(MAX(0,I108-(L108+N108)),MAX(0,'Расчет'!B73-(SUM(L106:L115)+SUM(N106:N115)))*O108/SUM(O$106:O$115)),0)</x:f>
        <x:v>0</x:v>
      </x:c>
      <x:c r="Q108" s="20" t="n">
        <x:f>IF(I108-(L108+N108+P108)&gt;0.000000001,J108,0)</x:f>
        <x:v>0.3111</x:v>
      </x:c>
      <x:c r="R108" s="24" t="n">
        <x:f>IF(SUM(Q$106:Q$115)&gt;0,MIN(MAX(0,I108-(L108+N108+P108)),MAX(0,'Расчет'!B73-(SUM(L106:L115)+SUM(N106:N115)+SUM(P106:P115)))*Q108/SUM(Q$106:Q$115)),0)</x:f>
        <x:v>0</x:v>
      </x:c>
      <x:c r="S108" s="20" t="n">
        <x:f>IF(I108-(L108+N108+P108+R108)&gt;0.000000001,J108,0)</x:f>
        <x:v>0.3111</x:v>
      </x:c>
      <x:c r="T108" s="24" t="n">
        <x:f>IF(SUM(S$106:S$115)&gt;0,MIN(MAX(0,I108-(L108+N108+P108+R108)),MAX(0,'Расчет'!B73-(SUM(L106:L115)+SUM(N106:N115)+SUM(P106:P115)+SUM(R106:R115)))*S108/SUM(S$106:S$115)),0)</x:f>
        <x:v>0</x:v>
      </x:c>
      <x:c r="U108" s="20" t="n">
        <x:f>SUM(L108,N108,P108,R108,T108)</x:f>
        <x:v>25.467286713533056</x:v>
      </x:c>
      <x:c r="V108" s="20" t="n">
        <x:f>0</x:f>
        <x:v>0</x:v>
      </x:c>
      <x:c r="W108" s="20" t="n">
        <x:f>0</x:f>
        <x:v>0</x:v>
      </x:c>
      <x:c r="X108" s="20" t="n">
        <x:f>G108</x:f>
        <x:v>791.38897</x:v>
      </x:c>
      <x:c r="Y108" s="20" t="n">
        <x:f>H108+U108</x:f>
        <x:v>273.0049167135331</x:v>
      </x:c>
      <x:c r="Z108" s="20" t="n">
        <x:f>G108-V108</x:f>
        <x:v>791.38897</x:v>
      </x:c>
      <x:c r="AA108" s="20" t="n">
        <x:f>Y108-W108</x:f>
        <x:v>273.0049167135331</x:v>
      </x:c>
      <x:c r="AB108" s="20" t="n">
        <x:f>Z108-AA108</x:f>
        <x:v>518.384053286467</x:v>
      </x:c>
    </x:row>
    <x:row r="109" ht="21" customHeight="1">
      <x:c r="A109" s="2" t="str">
        <x:v>Элитный</x:v>
      </x:c>
      <x:c r="B109" s="12" t="n">
        <x:v>2026</x:v>
      </x:c>
      <x:c r="C109" s="12" t="n">
        <x:v>2029</x:v>
      </x:c>
      <x:c r="D109" s="24" t="n">
        <x:f>'Данные'!C29</x:f>
        <x:v>791.8074500000001</x:v>
      </x:c>
      <x:c r="E109" s="24" t="n">
        <x:f>'Данные'!D29</x:f>
        <x:v>78.22184999999998</x:v>
      </x:c>
      <x:c r="F109" s="24" t="n">
        <x:f>'Расчет'!B64*'Допущения'!E26</x:f>
        <x:v>0</x:v>
      </x:c>
      <x:c r="G109" s="20" t="n">
        <x:f>D109+F109</x:f>
        <x:v>791.8074500000001</x:v>
      </x:c>
      <x:c r="H109" s="20" t="n">
        <x:f>E109</x:f>
        <x:v>78.22184999999998</x:v>
      </x:c>
      <x:c r="I109" s="20" t="n">
        <x:f>MAX(0,G109-H109)</x:f>
        <x:v>713.5856000000001</x:v>
      </x:c>
      <x:c r="J109" s="38" t="n">
        <x:f>'Допущения'!E30</x:f>
        <x:v>0.1495</x:v>
      </x:c>
      <x:c r="K109" s="39" t="n">
        <x:f>IF(I109-(0)&gt;0.000000001,J109,0)</x:f>
        <x:v>0.1495</x:v>
      </x:c>
      <x:c r="L109" s="24" t="n">
        <x:f>IF(SUM(K$106:K$115)&gt;0,MIN(MAX(0,I109-(0)),MAX(0,'Расчет'!B73-(0))*K109/SUM(K$106:K$115)),0)</x:f>
        <x:v>12.238377896731572</x:v>
      </x:c>
      <x:c r="M109" s="20" t="n">
        <x:f>IF(I109-(L109)&gt;0.000000001,J109,0)</x:f>
        <x:v>0.1495</x:v>
      </x:c>
      <x:c r="N109" s="24" t="n">
        <x:f>IF(SUM(M$106:M$115)&gt;0,MIN(MAX(0,I109-(L109)),MAX(0,'Расчет'!B73-(SUM(L106:L115)))*M109/SUM(M$106:M$115)),0)</x:f>
        <x:v>0</x:v>
      </x:c>
      <x:c r="O109" s="20" t="n">
        <x:f>IF(I109-(L109+N109)&gt;0.000000001,J109,0)</x:f>
        <x:v>0.1495</x:v>
      </x:c>
      <x:c r="P109" s="24" t="n">
        <x:f>IF(SUM(O$106:O$115)&gt;0,MIN(MAX(0,I109-(L109+N109)),MAX(0,'Расчет'!B73-(SUM(L106:L115)+SUM(N106:N115)))*O109/SUM(O$106:O$115)),0)</x:f>
        <x:v>0</x:v>
      </x:c>
      <x:c r="Q109" s="20" t="n">
        <x:f>IF(I109-(L109+N109+P109)&gt;0.000000001,J109,0)</x:f>
        <x:v>0.1495</x:v>
      </x:c>
      <x:c r="R109" s="24" t="n">
        <x:f>IF(SUM(Q$106:Q$115)&gt;0,MIN(MAX(0,I109-(L109+N109+P109)),MAX(0,'Расчет'!B73-(SUM(L106:L115)+SUM(N106:N115)+SUM(P106:P115)))*Q109/SUM(Q$106:Q$115)),0)</x:f>
        <x:v>0</x:v>
      </x:c>
      <x:c r="S109" s="20" t="n">
        <x:f>IF(I109-(L109+N109+P109+R109)&gt;0.000000001,J109,0)</x:f>
        <x:v>0.1495</x:v>
      </x:c>
      <x:c r="T109" s="24" t="n">
        <x:f>IF(SUM(S$106:S$115)&gt;0,MIN(MAX(0,I109-(L109+N109+P109+R109)),MAX(0,'Расчет'!B73-(SUM(L106:L115)+SUM(N106:N115)+SUM(P106:P115)+SUM(R106:R115)))*S109/SUM(S$106:S$115)),0)</x:f>
        <x:v>0</x:v>
      </x:c>
      <x:c r="U109" s="20" t="n">
        <x:f>SUM(L109,N109,P109,R109,T109)</x:f>
        <x:v>12.238377896731572</x:v>
      </x:c>
      <x:c r="V109" s="20" t="n">
        <x:f>0</x:f>
        <x:v>0</x:v>
      </x:c>
      <x:c r="W109" s="20" t="n">
        <x:f>0</x:f>
        <x:v>0</x:v>
      </x:c>
      <x:c r="X109" s="20" t="n">
        <x:f>G109</x:f>
        <x:v>791.8074500000001</x:v>
      </x:c>
      <x:c r="Y109" s="20" t="n">
        <x:f>H109+U109</x:f>
        <x:v>90.46022789673155</x:v>
      </x:c>
      <x:c r="Z109" s="20" t="n">
        <x:f>G109-V109</x:f>
        <x:v>791.8074500000001</x:v>
      </x:c>
      <x:c r="AA109" s="20" t="n">
        <x:f>Y109-W109</x:f>
        <x:v>90.46022789673155</x:v>
      </x:c>
      <x:c r="AB109" s="20" t="n">
        <x:f>Z109-AA109</x:f>
        <x:v>701.3472221032686</x:v>
      </x:c>
    </x:row>
    <x:row r="110" ht="21" customHeight="1">
      <x:c r="A110" s="2" t="str">
        <x:v>Элитный</x:v>
      </x:c>
      <x:c r="B110" s="12" t="n">
        <x:v>2026</x:v>
      </x:c>
      <x:c r="C110" s="12" t="n">
        <x:v>2030</x:v>
      </x:c>
      <x:c r="D110" s="24" t="n">
        <x:f>'Данные'!C30</x:f>
        <x:v>343.43388</x:v>
      </x:c>
      <x:c r="E110" s="24" t="n">
        <x:f>'Данные'!D30</x:f>
        <x:v>33.52392</x:v>
      </x:c>
      <x:c r="F110" s="24" t="n">
        <x:f>'Расчет'!B64*'Допущения'!F26</x:f>
        <x:v>0</x:v>
      </x:c>
      <x:c r="G110" s="20" t="n">
        <x:f>D110+F110</x:f>
        <x:v>343.43388</x:v>
      </x:c>
      <x:c r="H110" s="20" t="n">
        <x:f>E110</x:f>
        <x:v>33.52392</x:v>
      </x:c>
      <x:c r="I110" s="20" t="n">
        <x:f>MAX(0,G110-H110)</x:f>
        <x:v>309.90996</x:v>
      </x:c>
      <x:c r="J110" s="38" t="n">
        <x:f>'Допущения'!F30</x:f>
        <x:v>0.0425</x:v>
      </x:c>
      <x:c r="K110" s="39" t="n">
        <x:f>IF(I110-(0)&gt;0.000000001,J110,0)</x:f>
        <x:v>0.0425</x:v>
      </x:c>
      <x:c r="L110" s="24" t="n">
        <x:f>IF(SUM(K$106:K$115)&gt;0,MIN(MAX(0,I110-(0)),MAX(0,'Расчет'!B73-(0))*K110/SUM(K$106:K$115)),0)</x:f>
        <x:v>3.479137529171183</x:v>
      </x:c>
      <x:c r="M110" s="20" t="n">
        <x:f>IF(I110-(L110)&gt;0.000000001,J110,0)</x:f>
        <x:v>0.0425</x:v>
      </x:c>
      <x:c r="N110" s="24" t="n">
        <x:f>IF(SUM(M$106:M$115)&gt;0,MIN(MAX(0,I110-(L110)),MAX(0,'Расчет'!B73-(SUM(L106:L115)))*M110/SUM(M$106:M$115)),0)</x:f>
        <x:v>0</x:v>
      </x:c>
      <x:c r="O110" s="20" t="n">
        <x:f>IF(I110-(L110+N110)&gt;0.000000001,J110,0)</x:f>
        <x:v>0.0425</x:v>
      </x:c>
      <x:c r="P110" s="24" t="n">
        <x:f>IF(SUM(O$106:O$115)&gt;0,MIN(MAX(0,I110-(L110+N110)),MAX(0,'Расчет'!B73-(SUM(L106:L115)+SUM(N106:N115)))*O110/SUM(O$106:O$115)),0)</x:f>
        <x:v>0</x:v>
      </x:c>
      <x:c r="Q110" s="20" t="n">
        <x:f>IF(I110-(L110+N110+P110)&gt;0.000000001,J110,0)</x:f>
        <x:v>0.0425</x:v>
      </x:c>
      <x:c r="R110" s="24" t="n">
        <x:f>IF(SUM(Q$106:Q$115)&gt;0,MIN(MAX(0,I110-(L110+N110+P110)),MAX(0,'Расчет'!B73-(SUM(L106:L115)+SUM(N106:N115)+SUM(P106:P115)))*Q110/SUM(Q$106:Q$115)),0)</x:f>
        <x:v>0</x:v>
      </x:c>
      <x:c r="S110" s="20" t="n">
        <x:f>IF(I110-(L110+N110+P110+R110)&gt;0.000000001,J110,0)</x:f>
        <x:v>0.0425</x:v>
      </x:c>
      <x:c r="T110" s="24" t="n">
        <x:f>IF(SUM(S$106:S$115)&gt;0,MIN(MAX(0,I110-(L110+N110+P110+R110)),MAX(0,'Расчет'!B73-(SUM(L106:L115)+SUM(N106:N115)+SUM(P106:P115)+SUM(R106:R115)))*S110/SUM(S$106:S$115)),0)</x:f>
        <x:v>0</x:v>
      </x:c>
      <x:c r="U110" s="20" t="n">
        <x:f>SUM(L110,N110,P110,R110,T110)</x:f>
        <x:v>3.479137529171183</x:v>
      </x:c>
      <x:c r="V110" s="20" t="n">
        <x:f>0</x:f>
        <x:v>0</x:v>
      </x:c>
      <x:c r="W110" s="20" t="n">
        <x:f>0</x:f>
        <x:v>0</x:v>
      </x:c>
      <x:c r="X110" s="20" t="n">
        <x:f>G110</x:f>
        <x:v>343.43388</x:v>
      </x:c>
      <x:c r="Y110" s="20" t="n">
        <x:f>H110+U110</x:f>
        <x:v>37.00305752917118</x:v>
      </x:c>
      <x:c r="Z110" s="20" t="n">
        <x:f>G110-V110</x:f>
        <x:v>343.43388</x:v>
      </x:c>
      <x:c r="AA110" s="20" t="n">
        <x:f>Y110-W110</x:f>
        <x:v>37.00305752917118</x:v>
      </x:c>
      <x:c r="AB110" s="20" t="n">
        <x:f>Z110-AA110</x:f>
        <x:v>306.4308224708288</x:v>
      </x:c>
    </x:row>
    <x:row r="111" ht="21" customHeight="1">
      <x:c r="A111" s="2" t="str">
        <x:v>Элитный</x:v>
      </x:c>
      <x:c r="B111" s="12" t="n">
        <x:v>2026</x:v>
      </x:c>
      <x:c r="C111" s="12" t="n">
        <x:v>2031</x:v>
      </x:c>
      <x:c r="D111" s="24" t="n">
        <x:f>'Данные'!C31</x:f>
        <x:v>137.3416</x:v>
      </x:c>
      <x:c r="E111" s="24" t="n">
        <x:f>'Данные'!D31</x:f>
        <x:v>3.0899</x:v>
      </x:c>
      <x:c r="F111" s="24" t="n">
        <x:f>'Расчет'!B64*'Допущения'!G26</x:f>
        <x:v>0</x:v>
      </x:c>
      <x:c r="G111" s="20" t="n">
        <x:f>D111+F111</x:f>
        <x:v>137.3416</x:v>
      </x:c>
      <x:c r="H111" s="20" t="n">
        <x:f>E111</x:f>
        <x:v>3.0899</x:v>
      </x:c>
      <x:c r="I111" s="20" t="n">
        <x:f>MAX(0,G111-H111)</x:f>
        <x:v>134.2517</x:v>
      </x:c>
      <x:c r="J111" s="39" t="n">
        <x:f>0</x:f>
        <x:v>0</x:v>
      </x:c>
      <x:c r="K111" s="39" t="n">
        <x:f>IF(I111-(0)&gt;0.000000001,J111,0)</x:f>
        <x:v>0</x:v>
      </x:c>
      <x:c r="L111" s="24" t="n">
        <x:f>IF(SUM(K$106:K$115)&gt;0,MIN(MAX(0,I111-(0)),MAX(0,'Расчет'!B73-(0))*K111/SUM(K$106:K$115)),0)</x:f>
        <x:v>0</x:v>
      </x:c>
      <x:c r="M111" s="20" t="n">
        <x:f>IF(I111-(L111)&gt;0.000000001,J111,0)</x:f>
        <x:v>0</x:v>
      </x:c>
      <x:c r="N111" s="24" t="n">
        <x:f>IF(SUM(M$106:M$115)&gt;0,MIN(MAX(0,I111-(L111)),MAX(0,'Расчет'!B73-(SUM(L106:L115)))*M111/SUM(M$106:M$115)),0)</x:f>
        <x:v>0</x:v>
      </x:c>
      <x:c r="O111" s="20" t="n">
        <x:f>IF(I111-(L111+N111)&gt;0.000000001,J111,0)</x:f>
        <x:v>0</x:v>
      </x:c>
      <x:c r="P111" s="24" t="n">
        <x:f>IF(SUM(O$106:O$115)&gt;0,MIN(MAX(0,I111-(L111+N111)),MAX(0,'Расчет'!B73-(SUM(L106:L115)+SUM(N106:N115)))*O111/SUM(O$106:O$115)),0)</x:f>
        <x:v>0</x:v>
      </x:c>
      <x:c r="Q111" s="20" t="n">
        <x:f>IF(I111-(L111+N111+P111)&gt;0.000000001,J111,0)</x:f>
        <x:v>0</x:v>
      </x:c>
      <x:c r="R111" s="24" t="n">
        <x:f>IF(SUM(Q$106:Q$115)&gt;0,MIN(MAX(0,I111-(L111+N111+P111)),MAX(0,'Расчет'!B73-(SUM(L106:L115)+SUM(N106:N115)+SUM(P106:P115)))*Q111/SUM(Q$106:Q$115)),0)</x:f>
        <x:v>0</x:v>
      </x:c>
      <x:c r="S111" s="20" t="n">
        <x:f>IF(I111-(L111+N111+P111+R111)&gt;0.000000001,J111,0)</x:f>
        <x:v>0</x:v>
      </x:c>
      <x:c r="T111" s="24" t="n">
        <x:f>IF(SUM(S$106:S$115)&gt;0,MIN(MAX(0,I111-(L111+N111+P111+R111)),MAX(0,'Расчет'!B73-(SUM(L106:L115)+SUM(N106:N115)+SUM(P106:P115)+SUM(R106:R115)))*S111/SUM(S$106:S$115)),0)</x:f>
        <x:v>0</x:v>
      </x:c>
      <x:c r="U111" s="20" t="n">
        <x:f>SUM(L111,N111,P111,R111,T111)</x:f>
        <x:v>0</x:v>
      </x:c>
      <x:c r="V111" s="20" t="n">
        <x:f>0</x:f>
        <x:v>0</x:v>
      </x:c>
      <x:c r="W111" s="20" t="n">
        <x:f>0</x:f>
        <x:v>0</x:v>
      </x:c>
      <x:c r="X111" s="20" t="n">
        <x:f>G111</x:f>
        <x:v>137.3416</x:v>
      </x:c>
      <x:c r="Y111" s="20" t="n">
        <x:f>H111+U111</x:f>
        <x:v>3.0899</x:v>
      </x:c>
      <x:c r="Z111" s="20" t="n">
        <x:f>G111-V111</x:f>
        <x:v>137.3416</x:v>
      </x:c>
      <x:c r="AA111" s="20" t="n">
        <x:f>Y111-W111</x:f>
        <x:v>3.0899</x:v>
      </x:c>
      <x:c r="AB111" s="20" t="n">
        <x:f>Z111-AA111</x:f>
        <x:v>134.2517</x:v>
      </x:c>
    </x:row>
    <x:row r="112" ht="21" customHeight="1">
      <x:c r="A112" s="2" t="str">
        <x:v>Элитный</x:v>
      </x:c>
      <x:c r="B112" s="12" t="n">
        <x:v>2026</x:v>
      </x:c>
      <x:c r="C112" s="12" t="n">
        <x:v>2032</x:v>
      </x:c>
      <x:c r="D112" s="24" t="n">
        <x:f>'Данные'!C32</x:f>
        <x:v>0</x:v>
      </x:c>
      <x:c r="E112" s="24" t="n">
        <x:f>'Данные'!D32</x:f>
        <x:v>0</x:v>
      </x:c>
      <x:c r="F112" s="20" t="n">
        <x:f>0</x:f>
        <x:v>0</x:v>
      </x:c>
      <x:c r="G112" s="20" t="n">
        <x:f>D112+F112</x:f>
        <x:v>0</x:v>
      </x:c>
      <x:c r="H112" s="20" t="n">
        <x:f>E112</x:f>
        <x:v>0</x:v>
      </x:c>
      <x:c r="I112" s="20" t="n">
        <x:f>MAX(0,G112-H112)</x:f>
        <x:v>0</x:v>
      </x:c>
      <x:c r="J112" s="39" t="n">
        <x:f>0</x:f>
        <x:v>0</x:v>
      </x:c>
      <x:c r="K112" s="39" t="n">
        <x:f>IF(I112-(0)&gt;0.000000001,J112,0)</x:f>
        <x:v>0</x:v>
      </x:c>
      <x:c r="L112" s="24" t="n">
        <x:f>IF(SUM(K$106:K$115)&gt;0,MIN(MAX(0,I112-(0)),MAX(0,'Расчет'!B73-(0))*K112/SUM(K$106:K$115)),0)</x:f>
        <x:v>0</x:v>
      </x:c>
      <x:c r="M112" s="20" t="n">
        <x:f>IF(I112-(L112)&gt;0.000000001,J112,0)</x:f>
        <x:v>0</x:v>
      </x:c>
      <x:c r="N112" s="24" t="n">
        <x:f>IF(SUM(M$106:M$115)&gt;0,MIN(MAX(0,I112-(L112)),MAX(0,'Расчет'!B73-(SUM(L106:L115)))*M112/SUM(M$106:M$115)),0)</x:f>
        <x:v>0</x:v>
      </x:c>
      <x:c r="O112" s="20" t="n">
        <x:f>IF(I112-(L112+N112)&gt;0.000000001,J112,0)</x:f>
        <x:v>0</x:v>
      </x:c>
      <x:c r="P112" s="24" t="n">
        <x:f>IF(SUM(O$106:O$115)&gt;0,MIN(MAX(0,I112-(L112+N112)),MAX(0,'Расчет'!B73-(SUM(L106:L115)+SUM(N106:N115)))*O112/SUM(O$106:O$115)),0)</x:f>
        <x:v>0</x:v>
      </x:c>
      <x:c r="Q112" s="20" t="n">
        <x:f>IF(I112-(L112+N112+P112)&gt;0.000000001,J112,0)</x:f>
        <x:v>0</x:v>
      </x:c>
      <x:c r="R112" s="24" t="n">
        <x:f>IF(SUM(Q$106:Q$115)&gt;0,MIN(MAX(0,I112-(L112+N112+P112)),MAX(0,'Расчет'!B73-(SUM(L106:L115)+SUM(N106:N115)+SUM(P106:P115)))*Q112/SUM(Q$106:Q$115)),0)</x:f>
        <x:v>0</x:v>
      </x:c>
      <x:c r="S112" s="20" t="n">
        <x:f>IF(I112-(L112+N112+P112+R112)&gt;0.000000001,J112,0)</x:f>
        <x:v>0</x:v>
      </x:c>
      <x:c r="T112" s="24" t="n">
        <x:f>IF(SUM(S$106:S$115)&gt;0,MIN(MAX(0,I112-(L112+N112+P112+R112)),MAX(0,'Расчет'!B73-(SUM(L106:L115)+SUM(N106:N115)+SUM(P106:P115)+SUM(R106:R115)))*S112/SUM(S$106:S$115)),0)</x:f>
        <x:v>0</x:v>
      </x:c>
      <x:c r="U112" s="20" t="n">
        <x:f>SUM(L112,N112,P112,R112,T112)</x:f>
        <x:v>0</x:v>
      </x:c>
      <x:c r="V112" s="20" t="n">
        <x:f>0</x:f>
        <x:v>0</x:v>
      </x:c>
      <x:c r="W112" s="20" t="n">
        <x:f>0</x:f>
        <x:v>0</x:v>
      </x:c>
      <x:c r="X112" s="20" t="n">
        <x:f>G112</x:f>
        <x:v>0</x:v>
      </x:c>
      <x:c r="Y112" s="20" t="n">
        <x:f>H112+U112</x:f>
        <x:v>0</x:v>
      </x:c>
      <x:c r="Z112" s="20" t="n">
        <x:f>G112-V112</x:f>
        <x:v>0</x:v>
      </x:c>
      <x:c r="AA112" s="20" t="n">
        <x:f>Y112-W112</x:f>
        <x:v>0</x:v>
      </x:c>
      <x:c r="AB112" s="20" t="n">
        <x:f>Z112-AA112</x:f>
        <x:v>0</x:v>
      </x:c>
    </x:row>
    <x:row r="113" ht="21" customHeight="1">
      <x:c r="A113" s="2" t="str">
        <x:v>Элитный</x:v>
      </x:c>
      <x:c r="B113" s="12" t="n">
        <x:v>2026</x:v>
      </x:c>
      <x:c r="C113" s="12" t="n">
        <x:v>2033</x:v>
      </x:c>
      <x:c r="D113" s="24" t="n">
        <x:f>'Данные'!C33</x:f>
        <x:v>0</x:v>
      </x:c>
      <x:c r="E113" s="24" t="n">
        <x:f>'Данные'!D33</x:f>
        <x:v>0</x:v>
      </x:c>
      <x:c r="F113" s="20" t="n">
        <x:f>0</x:f>
        <x:v>0</x:v>
      </x:c>
      <x:c r="G113" s="20" t="n">
        <x:f>D113+F113</x:f>
        <x:v>0</x:v>
      </x:c>
      <x:c r="H113" s="20" t="n">
        <x:f>E113</x:f>
        <x:v>0</x:v>
      </x:c>
      <x:c r="I113" s="20" t="n">
        <x:f>MAX(0,G113-H113)</x:f>
        <x:v>0</x:v>
      </x:c>
      <x:c r="J113" s="39" t="n">
        <x:f>0</x:f>
        <x:v>0</x:v>
      </x:c>
      <x:c r="K113" s="39" t="n">
        <x:f>IF(I113-(0)&gt;0.000000001,J113,0)</x:f>
        <x:v>0</x:v>
      </x:c>
      <x:c r="L113" s="24" t="n">
        <x:f>IF(SUM(K$106:K$115)&gt;0,MIN(MAX(0,I113-(0)),MAX(0,'Расчет'!B73-(0))*K113/SUM(K$106:K$115)),0)</x:f>
        <x:v>0</x:v>
      </x:c>
      <x:c r="M113" s="20" t="n">
        <x:f>IF(I113-(L113)&gt;0.000000001,J113,0)</x:f>
        <x:v>0</x:v>
      </x:c>
      <x:c r="N113" s="24" t="n">
        <x:f>IF(SUM(M$106:M$115)&gt;0,MIN(MAX(0,I113-(L113)),MAX(0,'Расчет'!B73-(SUM(L106:L115)))*M113/SUM(M$106:M$115)),0)</x:f>
        <x:v>0</x:v>
      </x:c>
      <x:c r="O113" s="20" t="n">
        <x:f>IF(I113-(L113+N113)&gt;0.000000001,J113,0)</x:f>
        <x:v>0</x:v>
      </x:c>
      <x:c r="P113" s="24" t="n">
        <x:f>IF(SUM(O$106:O$115)&gt;0,MIN(MAX(0,I113-(L113+N113)),MAX(0,'Расчет'!B73-(SUM(L106:L115)+SUM(N106:N115)))*O113/SUM(O$106:O$115)),0)</x:f>
        <x:v>0</x:v>
      </x:c>
      <x:c r="Q113" s="20" t="n">
        <x:f>IF(I113-(L113+N113+P113)&gt;0.000000001,J113,0)</x:f>
        <x:v>0</x:v>
      </x:c>
      <x:c r="R113" s="24" t="n">
        <x:f>IF(SUM(Q$106:Q$115)&gt;0,MIN(MAX(0,I113-(L113+N113+P113)),MAX(0,'Расчет'!B73-(SUM(L106:L115)+SUM(N106:N115)+SUM(P106:P115)))*Q113/SUM(Q$106:Q$115)),0)</x:f>
        <x:v>0</x:v>
      </x:c>
      <x:c r="S113" s="20" t="n">
        <x:f>IF(I113-(L113+N113+P113+R113)&gt;0.000000001,J113,0)</x:f>
        <x:v>0</x:v>
      </x:c>
      <x:c r="T113" s="24" t="n">
        <x:f>IF(SUM(S$106:S$115)&gt;0,MIN(MAX(0,I113-(L113+N113+P113+R113)),MAX(0,'Расчет'!B73-(SUM(L106:L115)+SUM(N106:N115)+SUM(P106:P115)+SUM(R106:R115)))*S113/SUM(S$106:S$115)),0)</x:f>
        <x:v>0</x:v>
      </x:c>
      <x:c r="U113" s="20" t="n">
        <x:f>SUM(L113,N113,P113,R113,T113)</x:f>
        <x:v>0</x:v>
      </x:c>
      <x:c r="V113" s="20" t="n">
        <x:f>0</x:f>
        <x:v>0</x:v>
      </x:c>
      <x:c r="W113" s="20" t="n">
        <x:f>0</x:f>
        <x:v>0</x:v>
      </x:c>
      <x:c r="X113" s="20" t="n">
        <x:f>G113</x:f>
        <x:v>0</x:v>
      </x:c>
      <x:c r="Y113" s="20" t="n">
        <x:f>H113+U113</x:f>
        <x:v>0</x:v>
      </x:c>
      <x:c r="Z113" s="20" t="n">
        <x:f>G113-V113</x:f>
        <x:v>0</x:v>
      </x:c>
      <x:c r="AA113" s="20" t="n">
        <x:f>Y113-W113</x:f>
        <x:v>0</x:v>
      </x:c>
      <x:c r="AB113" s="20" t="n">
        <x:f>Z113-AA113</x:f>
        <x:v>0</x:v>
      </x:c>
    </x:row>
    <x:row r="114" ht="21" customHeight="1">
      <x:c r="A114" s="2" t="str">
        <x:v>Элитный</x:v>
      </x:c>
      <x:c r="B114" s="12" t="n">
        <x:v>2026</x:v>
      </x:c>
      <x:c r="C114" s="12" t="n">
        <x:v>2034</x:v>
      </x:c>
      <x:c r="D114" s="24" t="n">
        <x:f>'Данные'!C34</x:f>
        <x:v>0</x:v>
      </x:c>
      <x:c r="E114" s="24" t="n">
        <x:f>'Данные'!D34</x:f>
        <x:v>0</x:v>
      </x:c>
      <x:c r="F114" s="20" t="n">
        <x:f>0</x:f>
        <x:v>0</x:v>
      </x:c>
      <x:c r="G114" s="20" t="n">
        <x:f>D114+F114</x:f>
        <x:v>0</x:v>
      </x:c>
      <x:c r="H114" s="20" t="n">
        <x:f>E114</x:f>
        <x:v>0</x:v>
      </x:c>
      <x:c r="I114" s="20" t="n">
        <x:f>MAX(0,G114-H114)</x:f>
        <x:v>0</x:v>
      </x:c>
      <x:c r="J114" s="39" t="n">
        <x:f>0</x:f>
        <x:v>0</x:v>
      </x:c>
      <x:c r="K114" s="39" t="n">
        <x:f>IF(I114-(0)&gt;0.000000001,J114,0)</x:f>
        <x:v>0</x:v>
      </x:c>
      <x:c r="L114" s="24" t="n">
        <x:f>IF(SUM(K$106:K$115)&gt;0,MIN(MAX(0,I114-(0)),MAX(0,'Расчет'!B73-(0))*K114/SUM(K$106:K$115)),0)</x:f>
        <x:v>0</x:v>
      </x:c>
      <x:c r="M114" s="20" t="n">
        <x:f>IF(I114-(L114)&gt;0.000000001,J114,0)</x:f>
        <x:v>0</x:v>
      </x:c>
      <x:c r="N114" s="24" t="n">
        <x:f>IF(SUM(M$106:M$115)&gt;0,MIN(MAX(0,I114-(L114)),MAX(0,'Расчет'!B73-(SUM(L106:L115)))*M114/SUM(M$106:M$115)),0)</x:f>
        <x:v>0</x:v>
      </x:c>
      <x:c r="O114" s="20" t="n">
        <x:f>IF(I114-(L114+N114)&gt;0.000000001,J114,0)</x:f>
        <x:v>0</x:v>
      </x:c>
      <x:c r="P114" s="24" t="n">
        <x:f>IF(SUM(O$106:O$115)&gt;0,MIN(MAX(0,I114-(L114+N114)),MAX(0,'Расчет'!B73-(SUM(L106:L115)+SUM(N106:N115)))*O114/SUM(O$106:O$115)),0)</x:f>
        <x:v>0</x:v>
      </x:c>
      <x:c r="Q114" s="20" t="n">
        <x:f>IF(I114-(L114+N114+P114)&gt;0.000000001,J114,0)</x:f>
        <x:v>0</x:v>
      </x:c>
      <x:c r="R114" s="24" t="n">
        <x:f>IF(SUM(Q$106:Q$115)&gt;0,MIN(MAX(0,I114-(L114+N114+P114)),MAX(0,'Расчет'!B73-(SUM(L106:L115)+SUM(N106:N115)+SUM(P106:P115)))*Q114/SUM(Q$106:Q$115)),0)</x:f>
        <x:v>0</x:v>
      </x:c>
      <x:c r="S114" s="20" t="n">
        <x:f>IF(I114-(L114+N114+P114+R114)&gt;0.000000001,J114,0)</x:f>
        <x:v>0</x:v>
      </x:c>
      <x:c r="T114" s="24" t="n">
        <x:f>IF(SUM(S$106:S$115)&gt;0,MIN(MAX(0,I114-(L114+N114+P114+R114)),MAX(0,'Расчет'!B73-(SUM(L106:L115)+SUM(N106:N115)+SUM(P106:P115)+SUM(R106:R115)))*S114/SUM(S$106:S$115)),0)</x:f>
        <x:v>0</x:v>
      </x:c>
      <x:c r="U114" s="20" t="n">
        <x:f>SUM(L114,N114,P114,R114,T114)</x:f>
        <x:v>0</x:v>
      </x:c>
      <x:c r="V114" s="20" t="n">
        <x:f>0</x:f>
        <x:v>0</x:v>
      </x:c>
      <x:c r="W114" s="20" t="n">
        <x:f>0</x:f>
        <x:v>0</x:v>
      </x:c>
      <x:c r="X114" s="20" t="n">
        <x:f>G114</x:f>
        <x:v>0</x:v>
      </x:c>
      <x:c r="Y114" s="20" t="n">
        <x:f>H114+U114</x:f>
        <x:v>0</x:v>
      </x:c>
      <x:c r="Z114" s="20" t="n">
        <x:f>G114-V114</x:f>
        <x:v>0</x:v>
      </x:c>
      <x:c r="AA114" s="20" t="n">
        <x:f>Y114-W114</x:f>
        <x:v>0</x:v>
      </x:c>
      <x:c r="AB114" s="20" t="n">
        <x:f>Z114-AA114</x:f>
        <x:v>0</x:v>
      </x:c>
    </x:row>
    <x:row r="115" ht="21" customHeight="1">
      <x:c r="A115" s="2" t="str">
        <x:v>Элитный</x:v>
      </x:c>
      <x:c r="B115" s="12" t="n">
        <x:v>2026</x:v>
      </x:c>
      <x:c r="C115" s="12" t="n">
        <x:v>2035</x:v>
      </x:c>
      <x:c r="D115" s="24" t="n">
        <x:f>'Данные'!C35</x:f>
        <x:v>0</x:v>
      </x:c>
      <x:c r="E115" s="24" t="n">
        <x:f>'Данные'!D35</x:f>
        <x:v>0</x:v>
      </x:c>
      <x:c r="F115" s="20" t="n">
        <x:f>0</x:f>
        <x:v>0</x:v>
      </x:c>
      <x:c r="G115" s="20" t="n">
        <x:f>D115+F115</x:f>
        <x:v>0</x:v>
      </x:c>
      <x:c r="H115" s="20" t="n">
        <x:f>E115</x:f>
        <x:v>0</x:v>
      </x:c>
      <x:c r="I115" s="20" t="n">
        <x:f>MAX(0,G115-H115)</x:f>
        <x:v>0</x:v>
      </x:c>
      <x:c r="J115" s="39" t="n">
        <x:f>0</x:f>
        <x:v>0</x:v>
      </x:c>
      <x:c r="K115" s="39" t="n">
        <x:f>IF(I115-(0)&gt;0.000000001,J115,0)</x:f>
        <x:v>0</x:v>
      </x:c>
      <x:c r="L115" s="24" t="n">
        <x:f>IF(SUM(K$106:K$115)&gt;0,MIN(MAX(0,I115-(0)),MAX(0,'Расчет'!B73-(0))*K115/SUM(K$106:K$115)),0)</x:f>
        <x:v>0</x:v>
      </x:c>
      <x:c r="M115" s="20" t="n">
        <x:f>IF(I115-(L115)&gt;0.000000001,J115,0)</x:f>
        <x:v>0</x:v>
      </x:c>
      <x:c r="N115" s="24" t="n">
        <x:f>IF(SUM(M$106:M$115)&gt;0,MIN(MAX(0,I115-(L115)),MAX(0,'Расчет'!B73-(SUM(L106:L115)))*M115/SUM(M$106:M$115)),0)</x:f>
        <x:v>0</x:v>
      </x:c>
      <x:c r="O115" s="20" t="n">
        <x:f>IF(I115-(L115+N115)&gt;0.000000001,J115,0)</x:f>
        <x:v>0</x:v>
      </x:c>
      <x:c r="P115" s="24" t="n">
        <x:f>IF(SUM(O$106:O$115)&gt;0,MIN(MAX(0,I115-(L115+N115)),MAX(0,'Расчет'!B73-(SUM(L106:L115)+SUM(N106:N115)))*O115/SUM(O$106:O$115)),0)</x:f>
        <x:v>0</x:v>
      </x:c>
      <x:c r="Q115" s="20" t="n">
        <x:f>IF(I115-(L115+N115+P115)&gt;0.000000001,J115,0)</x:f>
        <x:v>0</x:v>
      </x:c>
      <x:c r="R115" s="24" t="n">
        <x:f>IF(SUM(Q$106:Q$115)&gt;0,MIN(MAX(0,I115-(L115+N115+P115)),MAX(0,'Расчет'!B73-(SUM(L106:L115)+SUM(N106:N115)+SUM(P106:P115)))*Q115/SUM(Q$106:Q$115)),0)</x:f>
        <x:v>0</x:v>
      </x:c>
      <x:c r="S115" s="20" t="n">
        <x:f>IF(I115-(L115+N115+P115+R115)&gt;0.000000001,J115,0)</x:f>
        <x:v>0</x:v>
      </x:c>
      <x:c r="T115" s="24" t="n">
        <x:f>IF(SUM(S$106:S$115)&gt;0,MIN(MAX(0,I115-(L115+N115+P115+R115)),MAX(0,'Расчет'!B73-(SUM(L106:L115)+SUM(N106:N115)+SUM(P106:P115)+SUM(R106:R115)))*S115/SUM(S$106:S$115)),0)</x:f>
        <x:v>0</x:v>
      </x:c>
      <x:c r="U115" s="20" t="n">
        <x:f>SUM(L115,N115,P115,R115,T115)</x:f>
        <x:v>0</x:v>
      </x:c>
      <x:c r="V115" s="20" t="n">
        <x:f>0</x:f>
        <x:v>0</x:v>
      </x:c>
      <x:c r="W115" s="20" t="n">
        <x:f>0</x:f>
        <x:v>0</x:v>
      </x:c>
      <x:c r="X115" s="20" t="n">
        <x:f>G115</x:f>
        <x:v>0</x:v>
      </x:c>
      <x:c r="Y115" s="20" t="n">
        <x:f>H115+U115</x:f>
        <x:v>0</x:v>
      </x:c>
      <x:c r="Z115" s="20" t="n">
        <x:f>G115-V115</x:f>
        <x:v>0</x:v>
      </x:c>
      <x:c r="AA115" s="20" t="n">
        <x:f>Y115-W115</x:f>
        <x:v>0</x:v>
      </x:c>
      <x:c r="AB115" s="20" t="n">
        <x:f>Z115-AA115</x:f>
        <x:v>0</x:v>
      </x:c>
    </x:row>
    <x:row r="116" ht="21" customHeight="1">
      <x:c r="A116" s="2" t="str">
        <x:v>Элитный</x:v>
      </x:c>
      <x:c r="B116" s="12" t="n">
        <x:v>2027</x:v>
      </x:c>
      <x:c r="C116" s="12" t="n">
        <x:v>2026</x:v>
      </x:c>
      <x:c r="D116" s="20" t="n">
        <x:f>0</x:f>
        <x:v>0</x:v>
      </x:c>
      <x:c r="E116" s="20" t="n">
        <x:f>0</x:f>
        <x:v>0</x:v>
      </x:c>
      <x:c r="F116" s="20" t="n">
        <x:f>0</x:f>
        <x:v>0</x:v>
      </x:c>
      <x:c r="G116" s="20" t="n">
        <x:f>D116+F116</x:f>
        <x:v>0</x:v>
      </x:c>
      <x:c r="H116" s="20" t="n">
        <x:f>E116</x:f>
        <x:v>0</x:v>
      </x:c>
      <x:c r="I116" s="20" t="n">
        <x:f>MAX(0,G116-H116)</x:f>
        <x:v>0</x:v>
      </x:c>
      <x:c r="J116" s="39" t="n">
        <x:f>0</x:f>
        <x:v>0</x:v>
      </x:c>
      <x:c r="K116" s="39" t="n">
        <x:f>IF(I116-(0)&gt;0.000000001,J116,0)</x:f>
        <x:v>0</x:v>
      </x:c>
      <x:c r="L116" s="24" t="n">
        <x:f>IF(SUM(K$116:K$125)&gt;0,MIN(MAX(0,I116-(0)),MAX(0,'Расчет'!C73-(0))*K116/SUM(K$116:K$125)),0)</x:f>
        <x:v>0</x:v>
      </x:c>
      <x:c r="M116" s="20" t="n">
        <x:f>IF(I116-(L116)&gt;0.000000001,J116,0)</x:f>
        <x:v>0</x:v>
      </x:c>
      <x:c r="N116" s="24" t="n">
        <x:f>IF(SUM(M$116:M$125)&gt;0,MIN(MAX(0,I116-(L116)),MAX(0,'Расчет'!C73-(SUM(L116:L125)))*M116/SUM(M$116:M$125)),0)</x:f>
        <x:v>0</x:v>
      </x:c>
      <x:c r="O116" s="20" t="n">
        <x:f>IF(I116-(L116+N116)&gt;0.000000001,J116,0)</x:f>
        <x:v>0</x:v>
      </x:c>
      <x:c r="P116" s="24" t="n">
        <x:f>IF(SUM(O$116:O$125)&gt;0,MIN(MAX(0,I116-(L116+N116)),MAX(0,'Расчет'!C73-(SUM(L116:L125)+SUM(N116:N125)))*O116/SUM(O$116:O$125)),0)</x:f>
        <x:v>0</x:v>
      </x:c>
      <x:c r="Q116" s="20" t="n">
        <x:f>IF(I116-(L116+N116+P116)&gt;0.000000001,J116,0)</x:f>
        <x:v>0</x:v>
      </x:c>
      <x:c r="R116" s="24" t="n">
        <x:f>IF(SUM(Q$116:Q$125)&gt;0,MIN(MAX(0,I116-(L116+N116+P116)),MAX(0,'Расчет'!C73-(SUM(L116:L125)+SUM(N116:N125)+SUM(P116:P125)))*Q116/SUM(Q$116:Q$125)),0)</x:f>
        <x:v>0</x:v>
      </x:c>
      <x:c r="S116" s="20" t="n">
        <x:f>IF(I116-(L116+N116+P116+R116)&gt;0.000000001,J116,0)</x:f>
        <x:v>0</x:v>
      </x:c>
      <x:c r="T116" s="24" t="n">
        <x:f>IF(SUM(S$116:S$125)&gt;0,MIN(MAX(0,I116-(L116+N116+P116+R116)),MAX(0,'Расчет'!C73-(SUM(L116:L125)+SUM(N116:N125)+SUM(P116:P125)+SUM(R116:R125)))*S116/SUM(S$116:S$125)),0)</x:f>
        <x:v>0</x:v>
      </x:c>
      <x:c r="U116" s="20" t="n">
        <x:f>SUM(L116,N116,P116,R116,T116)</x:f>
        <x:v>0</x:v>
      </x:c>
      <x:c r="V116" s="20" t="n">
        <x:f>0</x:f>
        <x:v>0</x:v>
      </x:c>
      <x:c r="W116" s="20" t="n">
        <x:f>0</x:f>
        <x:v>0</x:v>
      </x:c>
      <x:c r="X116" s="20" t="n">
        <x:f>G116</x:f>
        <x:v>0</x:v>
      </x:c>
      <x:c r="Y116" s="20" t="n">
        <x:f>H116+U116</x:f>
        <x:v>0</x:v>
      </x:c>
      <x:c r="Z116" s="20" t="n">
        <x:f>G116-V116</x:f>
        <x:v>0</x:v>
      </x:c>
      <x:c r="AA116" s="20" t="n">
        <x:f>Y116-W116</x:f>
        <x:v>0</x:v>
      </x:c>
      <x:c r="AB116" s="20" t="n">
        <x:f>Z116-AA116</x:f>
        <x:v>0</x:v>
      </x:c>
    </x:row>
    <x:row r="117" ht="21" customHeight="1">
      <x:c r="A117" s="2" t="str">
        <x:v>Элитный</x:v>
      </x:c>
      <x:c r="B117" s="12" t="n">
        <x:v>2027</x:v>
      </x:c>
      <x:c r="C117" s="12" t="n">
        <x:v>2027</x:v>
      </x:c>
      <x:c r="D117" s="20" t="n">
        <x:f>Z107+Z106</x:f>
        <x:v>1640.7663019999998</x:v>
      </x:c>
      <x:c r="E117" s="20" t="n">
        <x:f>AA107+AA106</x:f>
        <x:v>745.3029721900784</x:v>
      </x:c>
      <x:c r="F117" s="24" t="n">
        <x:f>'Расчет'!C64*'Допущения'!B26</x:f>
        <x:v>0</x:v>
      </x:c>
      <x:c r="G117" s="20" t="n">
        <x:f>D117+F117</x:f>
        <x:v>1640.7663019999998</x:v>
      </x:c>
      <x:c r="H117" s="20" t="n">
        <x:f>E117</x:f>
        <x:v>745.3029721900784</x:v>
      </x:c>
      <x:c r="I117" s="20" t="n">
        <x:f>MAX(0,G117-H117)</x:f>
        <x:v>895.4633298099213</x:v>
      </x:c>
      <x:c r="J117" s="38" t="n">
        <x:f>'Допущения'!B30</x:f>
        <x:v>0.1357</x:v>
      </x:c>
      <x:c r="K117" s="39" t="n">
        <x:f>IF(I117-(0)&gt;0.000000001,J117,0)</x:f>
        <x:v>0.1357</x:v>
      </x:c>
      <x:c r="L117" s="24" t="n">
        <x:f>IF(SUM(K$116:K$125)&gt;0,MIN(MAX(0,I117-(0)),MAX(0,'Расчет'!C73-(0))*K117/SUM(K$116:K$125)),0)</x:f>
        <x:v>73.64497768941115</x:v>
      </x:c>
      <x:c r="M117" s="20" t="n">
        <x:f>IF(I117-(L117)&gt;0.000000001,J117,0)</x:f>
        <x:v>0.1357</x:v>
      </x:c>
      <x:c r="N117" s="24" t="n">
        <x:f>IF(SUM(M$116:M$125)&gt;0,MIN(MAX(0,I117-(L117)),MAX(0,'Расчет'!C73-(SUM(L116:L125)))*M117/SUM(M$116:M$125)),0)</x:f>
        <x:v>0</x:v>
      </x:c>
      <x:c r="O117" s="20" t="n">
        <x:f>IF(I117-(L117+N117)&gt;0.000000001,J117,0)</x:f>
        <x:v>0.1357</x:v>
      </x:c>
      <x:c r="P117" s="24" t="n">
        <x:f>IF(SUM(O$116:O$125)&gt;0,MIN(MAX(0,I117-(L117+N117)),MAX(0,'Расчет'!C73-(SUM(L116:L125)+SUM(N116:N125)))*O117/SUM(O$116:O$125)),0)</x:f>
        <x:v>0</x:v>
      </x:c>
      <x:c r="Q117" s="20" t="n">
        <x:f>IF(I117-(L117+N117+P117)&gt;0.000000001,J117,0)</x:f>
        <x:v>0.1357</x:v>
      </x:c>
      <x:c r="R117" s="24" t="n">
        <x:f>IF(SUM(Q$116:Q$125)&gt;0,MIN(MAX(0,I117-(L117+N117+P117)),MAX(0,'Расчет'!C73-(SUM(L116:L125)+SUM(N116:N125)+SUM(P116:P125)))*Q117/SUM(Q$116:Q$125)),0)</x:f>
        <x:v>0</x:v>
      </x:c>
      <x:c r="S117" s="20" t="n">
        <x:f>IF(I117-(L117+N117+P117+R117)&gt;0.000000001,J117,0)</x:f>
        <x:v>0.1357</x:v>
      </x:c>
      <x:c r="T117" s="24" t="n">
        <x:f>IF(SUM(S$116:S$125)&gt;0,MIN(MAX(0,I117-(L117+N117+P117+R117)),MAX(0,'Расчет'!C73-(SUM(L116:L125)+SUM(N116:N125)+SUM(P116:P125)+SUM(R116:R125)))*S117/SUM(S$116:S$125)),0)</x:f>
        <x:v>0</x:v>
      </x:c>
      <x:c r="U117" s="20" t="n">
        <x:f>SUM(L117,N117,P117,R117,T117)</x:f>
        <x:v>73.64497768941115</x:v>
      </x:c>
      <x:c r="V117" s="24" t="n">
        <x:f>G117*(1-'Допущения'!C7)</x:f>
        <x:v>1394.6513566999997</x:v>
      </x:c>
      <x:c r="W117" s="24" t="n">
        <x:f>Y117*(1-'Допущения'!C7)</x:f>
        <x:v>696.1057573975661</x:v>
      </x:c>
      <x:c r="X117" s="20" t="n">
        <x:f>G117</x:f>
        <x:v>1640.7663019999998</x:v>
      </x:c>
      <x:c r="Y117" s="20" t="n">
        <x:f>H117+U117</x:f>
        <x:v>818.9479498794896</x:v>
      </x:c>
      <x:c r="Z117" s="20" t="n">
        <x:f>G117-V117</x:f>
        <x:v>246.11494530000004</x:v>
      </x:c>
      <x:c r="AA117" s="20" t="n">
        <x:f>Y117-W117</x:f>
        <x:v>122.84219248192346</x:v>
      </x:c>
      <x:c r="AB117" s="20" t="n">
        <x:f>Z117-AA117</x:f>
        <x:v>123.27275281807658</x:v>
      </x:c>
    </x:row>
    <x:row r="118" ht="21" customHeight="1">
      <x:c r="A118" s="2" t="str">
        <x:v>Элитный</x:v>
      </x:c>
      <x:c r="B118" s="12" t="n">
        <x:v>2027</x:v>
      </x:c>
      <x:c r="C118" s="12" t="n">
        <x:v>2028</x:v>
      </x:c>
      <x:c r="D118" s="20" t="n">
        <x:f>Z108</x:f>
        <x:v>791.38897</x:v>
      </x:c>
      <x:c r="E118" s="20" t="n">
        <x:f>AA108</x:f>
        <x:v>273.0049167135331</x:v>
      </x:c>
      <x:c r="F118" s="24" t="n">
        <x:f>'Расчет'!C64*'Допущения'!C26</x:f>
        <x:v>0.5545956392156236</x:v>
      </x:c>
      <x:c r="G118" s="20" t="n">
        <x:f>D118+F118</x:f>
        <x:v>791.9435656392156</x:v>
      </x:c>
      <x:c r="H118" s="20" t="n">
        <x:f>E118</x:f>
        <x:v>273.0049167135331</x:v>
      </x:c>
      <x:c r="I118" s="20" t="n">
        <x:f>MAX(0,G118-H118)</x:f>
        <x:v>518.9386489256826</x:v>
      </x:c>
      <x:c r="J118" s="38" t="n">
        <x:f>'Допущения'!C30</x:f>
        <x:v>0.3612</x:v>
      </x:c>
      <x:c r="K118" s="39" t="n">
        <x:f>IF(I118-(0)&gt;0.000000001,J118,0)</x:f>
        <x:v>0.3612</x:v>
      </x:c>
      <x:c r="L118" s="24" t="n">
        <x:f>IF(SUM(K$116:K$125)&gt;0,MIN(MAX(0,I118-(0)),MAX(0,'Расчет'!C73-(0))*K118/SUM(K$116:K$125)),0)</x:f>
        <x:v>196.02480428456383</x:v>
      </x:c>
      <x:c r="M118" s="20" t="n">
        <x:f>IF(I118-(L118)&gt;0.000000001,J118,0)</x:f>
        <x:v>0.3612</x:v>
      </x:c>
      <x:c r="N118" s="24" t="n">
        <x:f>IF(SUM(M$116:M$125)&gt;0,MIN(MAX(0,I118-(L118)),MAX(0,'Расчет'!C73-(SUM(L116:L125)))*M118/SUM(M$116:M$125)),0)</x:f>
        <x:v>0</x:v>
      </x:c>
      <x:c r="O118" s="20" t="n">
        <x:f>IF(I118-(L118+N118)&gt;0.000000001,J118,0)</x:f>
        <x:v>0.3612</x:v>
      </x:c>
      <x:c r="P118" s="24" t="n">
        <x:f>IF(SUM(O$116:O$125)&gt;0,MIN(MAX(0,I118-(L118+N118)),MAX(0,'Расчет'!C73-(SUM(L116:L125)+SUM(N116:N125)))*O118/SUM(O$116:O$125)),0)</x:f>
        <x:v>0</x:v>
      </x:c>
      <x:c r="Q118" s="20" t="n">
        <x:f>IF(I118-(L118+N118+P118)&gt;0.000000001,J118,0)</x:f>
        <x:v>0.3612</x:v>
      </x:c>
      <x:c r="R118" s="24" t="n">
        <x:f>IF(SUM(Q$116:Q$125)&gt;0,MIN(MAX(0,I118-(L118+N118+P118)),MAX(0,'Расчет'!C73-(SUM(L116:L125)+SUM(N116:N125)+SUM(P116:P125)))*Q118/SUM(Q$116:Q$125)),0)</x:f>
        <x:v>0</x:v>
      </x:c>
      <x:c r="S118" s="20" t="n">
        <x:f>IF(I118-(L118+N118+P118+R118)&gt;0.000000001,J118,0)</x:f>
        <x:v>0.3612</x:v>
      </x:c>
      <x:c r="T118" s="24" t="n">
        <x:f>IF(SUM(S$116:S$125)&gt;0,MIN(MAX(0,I118-(L118+N118+P118+R118)),MAX(0,'Расчет'!C73-(SUM(L116:L125)+SUM(N116:N125)+SUM(P116:P125)+SUM(R116:R125)))*S118/SUM(S$116:S$125)),0)</x:f>
        <x:v>0</x:v>
      </x:c>
      <x:c r="U118" s="20" t="n">
        <x:f>SUM(L118,N118,P118,R118,T118)</x:f>
        <x:v>196.02480428456383</x:v>
      </x:c>
      <x:c r="V118" s="20" t="n">
        <x:f>0</x:f>
        <x:v>0</x:v>
      </x:c>
      <x:c r="W118" s="20" t="n">
        <x:f>0</x:f>
        <x:v>0</x:v>
      </x:c>
      <x:c r="X118" s="20" t="n">
        <x:f>G118</x:f>
        <x:v>791.9435656392156</x:v>
      </x:c>
      <x:c r="Y118" s="20" t="n">
        <x:f>H118+U118</x:f>
        <x:v>469.0297209980969</x:v>
      </x:c>
      <x:c r="Z118" s="20" t="n">
        <x:f>G118-V118</x:f>
        <x:v>791.9435656392156</x:v>
      </x:c>
      <x:c r="AA118" s="20" t="n">
        <x:f>Y118-W118</x:f>
        <x:v>469.0297209980969</x:v>
      </x:c>
      <x:c r="AB118" s="20" t="n">
        <x:f>Z118-AA118</x:f>
        <x:v>322.91384464111877</x:v>
      </x:c>
    </x:row>
    <x:row r="119" ht="21" customHeight="1">
      <x:c r="A119" s="2" t="str">
        <x:v>Элитный</x:v>
      </x:c>
      <x:c r="B119" s="12" t="n">
        <x:v>2027</x:v>
      </x:c>
      <x:c r="C119" s="12" t="n">
        <x:v>2029</x:v>
      </x:c>
      <x:c r="D119" s="20" t="n">
        <x:f>Z109</x:f>
        <x:v>791.8074500000001</x:v>
      </x:c>
      <x:c r="E119" s="20" t="n">
        <x:f>AA109</x:f>
        <x:v>90.46022789673155</x:v>
      </x:c>
      <x:c r="F119" s="24" t="n">
        <x:f>'Расчет'!C64*'Допущения'!D26</x:f>
        <x:v>24.672283304212442</x:v>
      </x:c>
      <x:c r="G119" s="20" t="n">
        <x:f>D119+F119</x:f>
        <x:v>816.4797333042126</x:v>
      </x:c>
      <x:c r="H119" s="20" t="n">
        <x:f>E119</x:f>
        <x:v>90.46022789673155</x:v>
      </x:c>
      <x:c r="I119" s="20" t="n">
        <x:f>MAX(0,G119-H119)</x:f>
        <x:v>726.019505407481</x:v>
      </x:c>
      <x:c r="J119" s="38" t="n">
        <x:f>'Допущения'!D30</x:f>
        <x:v>0.3111</x:v>
      </x:c>
      <x:c r="K119" s="39" t="n">
        <x:f>IF(I119-(0)&gt;0.000000001,J119,0)</x:f>
        <x:v>0.3111</x:v>
      </x:c>
      <x:c r="L119" s="24" t="n">
        <x:f>IF(SUM(K$116:K$125)&gt;0,MIN(MAX(0,I119-(0)),MAX(0,'Расчет'!C73-(0))*K119/SUM(K$116:K$125)),0)</x:f>
        <x:v>168.83531731153874</x:v>
      </x:c>
      <x:c r="M119" s="20" t="n">
        <x:f>IF(I119-(L119)&gt;0.000000001,J119,0)</x:f>
        <x:v>0.3111</x:v>
      </x:c>
      <x:c r="N119" s="24" t="n">
        <x:f>IF(SUM(M$116:M$125)&gt;0,MIN(MAX(0,I119-(L119)),MAX(0,'Расчет'!C73-(SUM(L116:L125)))*M119/SUM(M$116:M$125)),0)</x:f>
        <x:v>0</x:v>
      </x:c>
      <x:c r="O119" s="20" t="n">
        <x:f>IF(I119-(L119+N119)&gt;0.000000001,J119,0)</x:f>
        <x:v>0.3111</x:v>
      </x:c>
      <x:c r="P119" s="24" t="n">
        <x:f>IF(SUM(O$116:O$125)&gt;0,MIN(MAX(0,I119-(L119+N119)),MAX(0,'Расчет'!C73-(SUM(L116:L125)+SUM(N116:N125)))*O119/SUM(O$116:O$125)),0)</x:f>
        <x:v>0</x:v>
      </x:c>
      <x:c r="Q119" s="20" t="n">
        <x:f>IF(I119-(L119+N119+P119)&gt;0.000000001,J119,0)</x:f>
        <x:v>0.3111</x:v>
      </x:c>
      <x:c r="R119" s="24" t="n">
        <x:f>IF(SUM(Q$116:Q$125)&gt;0,MIN(MAX(0,I119-(L119+N119+P119)),MAX(0,'Расчет'!C73-(SUM(L116:L125)+SUM(N116:N125)+SUM(P116:P125)))*Q119/SUM(Q$116:Q$125)),0)</x:f>
        <x:v>0</x:v>
      </x:c>
      <x:c r="S119" s="20" t="n">
        <x:f>IF(I119-(L119+N119+P119+R119)&gt;0.000000001,J119,0)</x:f>
        <x:v>0.3111</x:v>
      </x:c>
      <x:c r="T119" s="24" t="n">
        <x:f>IF(SUM(S$116:S$125)&gt;0,MIN(MAX(0,I119-(L119+N119+P119+R119)),MAX(0,'Расчет'!C73-(SUM(L116:L125)+SUM(N116:N125)+SUM(P116:P125)+SUM(R116:R125)))*S119/SUM(S$116:S$125)),0)</x:f>
        <x:v>0</x:v>
      </x:c>
      <x:c r="U119" s="20" t="n">
        <x:f>SUM(L119,N119,P119,R119,T119)</x:f>
        <x:v>168.83531731153874</x:v>
      </x:c>
      <x:c r="V119" s="20" t="n">
        <x:f>0</x:f>
        <x:v>0</x:v>
      </x:c>
      <x:c r="W119" s="20" t="n">
        <x:f>0</x:f>
        <x:v>0</x:v>
      </x:c>
      <x:c r="X119" s="20" t="n">
        <x:f>G119</x:f>
        <x:v>816.4797333042126</x:v>
      </x:c>
      <x:c r="Y119" s="20" t="n">
        <x:f>H119+U119</x:f>
        <x:v>259.2955452082703</x:v>
      </x:c>
      <x:c r="Z119" s="20" t="n">
        <x:f>G119-V119</x:f>
        <x:v>816.4797333042126</x:v>
      </x:c>
      <x:c r="AA119" s="20" t="n">
        <x:f>Y119-W119</x:f>
        <x:v>259.2955452082703</x:v>
      </x:c>
      <x:c r="AB119" s="20" t="n">
        <x:f>Z119-AA119</x:f>
        <x:v>557.1841880959423</x:v>
      </x:c>
    </x:row>
    <x:row r="120" ht="21" customHeight="1">
      <x:c r="A120" s="2" t="str">
        <x:v>Элитный</x:v>
      </x:c>
      <x:c r="B120" s="12" t="n">
        <x:v>2027</x:v>
      </x:c>
      <x:c r="C120" s="12" t="n">
        <x:v>2030</x:v>
      </x:c>
      <x:c r="D120" s="20" t="n">
        <x:f>Z110</x:f>
        <x:v>343.43388</x:v>
      </x:c>
      <x:c r="E120" s="20" t="n">
        <x:f>AA110</x:f>
        <x:v>37.00305752917118</x:v>
      </x:c>
      <x:c r="F120" s="24" t="n">
        <x:f>'Расчет'!C64*'Допущения'!E26</x:f>
        <x:v>387.2363357628132</x:v>
      </x:c>
      <x:c r="G120" s="20" t="n">
        <x:f>D120+F120</x:f>
        <x:v>730.6702157628132</x:v>
      </x:c>
      <x:c r="H120" s="20" t="n">
        <x:f>E120</x:f>
        <x:v>37.00305752917118</x:v>
      </x:c>
      <x:c r="I120" s="20" t="n">
        <x:f>MAX(0,G120-H120)</x:f>
        <x:v>693.667158233642</x:v>
      </x:c>
      <x:c r="J120" s="38" t="n">
        <x:f>'Допущения'!E30</x:f>
        <x:v>0.1495</x:v>
      </x:c>
      <x:c r="K120" s="39" t="n">
        <x:f>IF(I120-(0)&gt;0.000000001,J120,0)</x:f>
        <x:v>0.1495</x:v>
      </x:c>
      <x:c r="L120" s="24" t="n">
        <x:f>IF(SUM(K$116:K$125)&gt;0,MIN(MAX(0,I120-(0)),MAX(0,'Расчет'!C73-(0))*K120/SUM(K$116:K$125)),0)</x:f>
        <x:v>81.13429745443601</x:v>
      </x:c>
      <x:c r="M120" s="20" t="n">
        <x:f>IF(I120-(L120)&gt;0.000000001,J120,0)</x:f>
        <x:v>0.1495</x:v>
      </x:c>
      <x:c r="N120" s="24" t="n">
        <x:f>IF(SUM(M$116:M$125)&gt;0,MIN(MAX(0,I120-(L120)),MAX(0,'Расчет'!C73-(SUM(L116:L125)))*M120/SUM(M$116:M$125)),0)</x:f>
        <x:v>0</x:v>
      </x:c>
      <x:c r="O120" s="20" t="n">
        <x:f>IF(I120-(L120+N120)&gt;0.000000001,J120,0)</x:f>
        <x:v>0.1495</x:v>
      </x:c>
      <x:c r="P120" s="24" t="n">
        <x:f>IF(SUM(O$116:O$125)&gt;0,MIN(MAX(0,I120-(L120+N120)),MAX(0,'Расчет'!C73-(SUM(L116:L125)+SUM(N116:N125)))*O120/SUM(O$116:O$125)),0)</x:f>
        <x:v>0</x:v>
      </x:c>
      <x:c r="Q120" s="20" t="n">
        <x:f>IF(I120-(L120+N120+P120)&gt;0.000000001,J120,0)</x:f>
        <x:v>0.1495</x:v>
      </x:c>
      <x:c r="R120" s="24" t="n">
        <x:f>IF(SUM(Q$116:Q$125)&gt;0,MIN(MAX(0,I120-(L120+N120+P120)),MAX(0,'Расчет'!C73-(SUM(L116:L125)+SUM(N116:N125)+SUM(P116:P125)))*Q120/SUM(Q$116:Q$125)),0)</x:f>
        <x:v>0</x:v>
      </x:c>
      <x:c r="S120" s="20" t="n">
        <x:f>IF(I120-(L120+N120+P120+R120)&gt;0.000000001,J120,0)</x:f>
        <x:v>0.1495</x:v>
      </x:c>
      <x:c r="T120" s="24" t="n">
        <x:f>IF(SUM(S$116:S$125)&gt;0,MIN(MAX(0,I120-(L120+N120+P120+R120)),MAX(0,'Расчет'!C73-(SUM(L116:L125)+SUM(N116:N125)+SUM(P116:P125)+SUM(R116:R125)))*S120/SUM(S$116:S$125)),0)</x:f>
        <x:v>0</x:v>
      </x:c>
      <x:c r="U120" s="20" t="n">
        <x:f>SUM(L120,N120,P120,R120,T120)</x:f>
        <x:v>81.13429745443601</x:v>
      </x:c>
      <x:c r="V120" s="20" t="n">
        <x:f>0</x:f>
        <x:v>0</x:v>
      </x:c>
      <x:c r="W120" s="20" t="n">
        <x:f>0</x:f>
        <x:v>0</x:v>
      </x:c>
      <x:c r="X120" s="20" t="n">
        <x:f>G120</x:f>
        <x:v>730.6702157628132</x:v>
      </x:c>
      <x:c r="Y120" s="20" t="n">
        <x:f>H120+U120</x:f>
        <x:v>118.1373549836072</x:v>
      </x:c>
      <x:c r="Z120" s="20" t="n">
        <x:f>G120-V120</x:f>
        <x:v>730.6702157628132</x:v>
      </x:c>
      <x:c r="AA120" s="20" t="n">
        <x:f>Y120-W120</x:f>
        <x:v>118.1373549836072</x:v>
      </x:c>
      <x:c r="AB120" s="20" t="n">
        <x:f>Z120-AA120</x:f>
        <x:v>612.532860779206</x:v>
      </x:c>
    </x:row>
    <x:row r="121" ht="21" customHeight="1">
      <x:c r="A121" s="2" t="str">
        <x:v>Элитный</x:v>
      </x:c>
      <x:c r="B121" s="12" t="n">
        <x:v>2027</x:v>
      </x:c>
      <x:c r="C121" s="12" t="n">
        <x:v>2031</x:v>
      </x:c>
      <x:c r="D121" s="20" t="n">
        <x:f>Z111</x:f>
        <x:v>137.3416</x:v>
      </x:c>
      <x:c r="E121" s="20" t="n">
        <x:f>AA111</x:f>
        <x:v>3.0899</x:v>
      </x:c>
      <x:c r="F121" s="24" t="n">
        <x:f>'Расчет'!C64*'Допущения'!F26</x:f>
        <x:v>262.6661402746167</x:v>
      </x:c>
      <x:c r="G121" s="20" t="n">
        <x:f>D121+F121</x:f>
        <x:v>400.0077402746167</x:v>
      </x:c>
      <x:c r="H121" s="20" t="n">
        <x:f>E121</x:f>
        <x:v>3.0899</x:v>
      </x:c>
      <x:c r="I121" s="20" t="n">
        <x:f>MAX(0,G121-H121)</x:f>
        <x:v>396.9178402746167</x:v>
      </x:c>
      <x:c r="J121" s="38" t="n">
        <x:f>'Допущения'!F30</x:f>
        <x:v>0.0425</x:v>
      </x:c>
      <x:c r="K121" s="39" t="n">
        <x:f>IF(I121-(0)&gt;0.000000001,J121,0)</x:f>
        <x:v>0.0425</x:v>
      </x:c>
      <x:c r="L121" s="24" t="n">
        <x:f>IF(SUM(K$116:K$125)&gt;0,MIN(MAX(0,I121-(0)),MAX(0,'Расчет'!C73-(0))*K121/SUM(K$116:K$125)),0)</x:f>
        <x:v>23.064934058953384</x:v>
      </x:c>
      <x:c r="M121" s="20" t="n">
        <x:f>IF(I121-(L121)&gt;0.000000001,J121,0)</x:f>
        <x:v>0.0425</x:v>
      </x:c>
      <x:c r="N121" s="24" t="n">
        <x:f>IF(SUM(M$116:M$125)&gt;0,MIN(MAX(0,I121-(L121)),MAX(0,'Расчет'!C73-(SUM(L116:L125)))*M121/SUM(M$116:M$125)),0)</x:f>
        <x:v>0</x:v>
      </x:c>
      <x:c r="O121" s="20" t="n">
        <x:f>IF(I121-(L121+N121)&gt;0.000000001,J121,0)</x:f>
        <x:v>0.0425</x:v>
      </x:c>
      <x:c r="P121" s="24" t="n">
        <x:f>IF(SUM(O$116:O$125)&gt;0,MIN(MAX(0,I121-(L121+N121)),MAX(0,'Расчет'!C73-(SUM(L116:L125)+SUM(N116:N125)))*O121/SUM(O$116:O$125)),0)</x:f>
        <x:v>0</x:v>
      </x:c>
      <x:c r="Q121" s="20" t="n">
        <x:f>IF(I121-(L121+N121+P121)&gt;0.000000001,J121,0)</x:f>
        <x:v>0.0425</x:v>
      </x:c>
      <x:c r="R121" s="24" t="n">
        <x:f>IF(SUM(Q$116:Q$125)&gt;0,MIN(MAX(0,I121-(L121+N121+P121)),MAX(0,'Расчет'!C73-(SUM(L116:L125)+SUM(N116:N125)+SUM(P116:P125)))*Q121/SUM(Q$116:Q$125)),0)</x:f>
        <x:v>0</x:v>
      </x:c>
      <x:c r="S121" s="20" t="n">
        <x:f>IF(I121-(L121+N121+P121+R121)&gt;0.000000001,J121,0)</x:f>
        <x:v>0.0425</x:v>
      </x:c>
      <x:c r="T121" s="24" t="n">
        <x:f>IF(SUM(S$116:S$125)&gt;0,MIN(MAX(0,I121-(L121+N121+P121+R121)),MAX(0,'Расчет'!C73-(SUM(L116:L125)+SUM(N116:N125)+SUM(P116:P125)+SUM(R116:R125)))*S121/SUM(S$116:S$125)),0)</x:f>
        <x:v>0</x:v>
      </x:c>
      <x:c r="U121" s="20" t="n">
        <x:f>SUM(L121,N121,P121,R121,T121)</x:f>
        <x:v>23.064934058953384</x:v>
      </x:c>
      <x:c r="V121" s="20" t="n">
        <x:f>0</x:f>
        <x:v>0</x:v>
      </x:c>
      <x:c r="W121" s="20" t="n">
        <x:f>0</x:f>
        <x:v>0</x:v>
      </x:c>
      <x:c r="X121" s="20" t="n">
        <x:f>G121</x:f>
        <x:v>400.0077402746167</x:v>
      </x:c>
      <x:c r="Y121" s="20" t="n">
        <x:f>H121+U121</x:f>
        <x:v>26.154834058953384</x:v>
      </x:c>
      <x:c r="Z121" s="20" t="n">
        <x:f>G121-V121</x:f>
        <x:v>400.0077402746167</x:v>
      </x:c>
      <x:c r="AA121" s="20" t="n">
        <x:f>Y121-W121</x:f>
        <x:v>26.154834058953384</x:v>
      </x:c>
      <x:c r="AB121" s="20" t="n">
        <x:f>Z121-AA121</x:f>
        <x:v>373.8529062156633</x:v>
      </x:c>
    </x:row>
    <x:row r="122" ht="21" customHeight="1">
      <x:c r="A122" s="2" t="str">
        <x:v>Элитный</x:v>
      </x:c>
      <x:c r="B122" s="12" t="n">
        <x:v>2027</x:v>
      </x:c>
      <x:c r="C122" s="12" t="n">
        <x:v>2032</x:v>
      </x:c>
      <x:c r="D122" s="20" t="n">
        <x:f>Z112</x:f>
        <x:v>0</x:v>
      </x:c>
      <x:c r="E122" s="20" t="n">
        <x:f>AA112</x:f>
        <x:v>0</x:v>
      </x:c>
      <x:c r="F122" s="24" t="n">
        <x:f>'Расчет'!C64*'Допущения'!G26</x:f>
        <x:v>199.4407910333486</x:v>
      </x:c>
      <x:c r="G122" s="20" t="n">
        <x:f>D122+F122</x:f>
        <x:v>199.4407910333486</x:v>
      </x:c>
      <x:c r="H122" s="20" t="n">
        <x:f>E122</x:f>
        <x:v>0</x:v>
      </x:c>
      <x:c r="I122" s="20" t="n">
        <x:f>MAX(0,G122-H122)</x:f>
        <x:v>199.4407910333486</x:v>
      </x:c>
      <x:c r="J122" s="39" t="n">
        <x:f>0</x:f>
        <x:v>0</x:v>
      </x:c>
      <x:c r="K122" s="39" t="n">
        <x:f>IF(I122-(0)&gt;0.000000001,J122,0)</x:f>
        <x:v>0</x:v>
      </x:c>
      <x:c r="L122" s="24" t="n">
        <x:f>IF(SUM(K$116:K$125)&gt;0,MIN(MAX(0,I122-(0)),MAX(0,'Расчет'!C73-(0))*K122/SUM(K$116:K$125)),0)</x:f>
        <x:v>0</x:v>
      </x:c>
      <x:c r="M122" s="20" t="n">
        <x:f>IF(I122-(L122)&gt;0.000000001,J122,0)</x:f>
        <x:v>0</x:v>
      </x:c>
      <x:c r="N122" s="24" t="n">
        <x:f>IF(SUM(M$116:M$125)&gt;0,MIN(MAX(0,I122-(L122)),MAX(0,'Расчет'!C73-(SUM(L116:L125)))*M122/SUM(M$116:M$125)),0)</x:f>
        <x:v>0</x:v>
      </x:c>
      <x:c r="O122" s="20" t="n">
        <x:f>IF(I122-(L122+N122)&gt;0.000000001,J122,0)</x:f>
        <x:v>0</x:v>
      </x:c>
      <x:c r="P122" s="24" t="n">
        <x:f>IF(SUM(O$116:O$125)&gt;0,MIN(MAX(0,I122-(L122+N122)),MAX(0,'Расчет'!C73-(SUM(L116:L125)+SUM(N116:N125)))*O122/SUM(O$116:O$125)),0)</x:f>
        <x:v>0</x:v>
      </x:c>
      <x:c r="Q122" s="20" t="n">
        <x:f>IF(I122-(L122+N122+P122)&gt;0.000000001,J122,0)</x:f>
        <x:v>0</x:v>
      </x:c>
      <x:c r="R122" s="24" t="n">
        <x:f>IF(SUM(Q$116:Q$125)&gt;0,MIN(MAX(0,I122-(L122+N122+P122)),MAX(0,'Расчет'!C73-(SUM(L116:L125)+SUM(N116:N125)+SUM(P116:P125)))*Q122/SUM(Q$116:Q$125)),0)</x:f>
        <x:v>0</x:v>
      </x:c>
      <x:c r="S122" s="20" t="n">
        <x:f>IF(I122-(L122+N122+P122+R122)&gt;0.000000001,J122,0)</x:f>
        <x:v>0</x:v>
      </x:c>
      <x:c r="T122" s="24" t="n">
        <x:f>IF(SUM(S$116:S$125)&gt;0,MIN(MAX(0,I122-(L122+N122+P122+R122)),MAX(0,'Расчет'!C73-(SUM(L116:L125)+SUM(N116:N125)+SUM(P116:P125)+SUM(R116:R125)))*S122/SUM(S$116:S$125)),0)</x:f>
        <x:v>0</x:v>
      </x:c>
      <x:c r="U122" s="20" t="n">
        <x:f>SUM(L122,N122,P122,R122,T122)</x:f>
        <x:v>0</x:v>
      </x:c>
      <x:c r="V122" s="20" t="n">
        <x:f>0</x:f>
        <x:v>0</x:v>
      </x:c>
      <x:c r="W122" s="20" t="n">
        <x:f>0</x:f>
        <x:v>0</x:v>
      </x:c>
      <x:c r="X122" s="20" t="n">
        <x:f>G122</x:f>
        <x:v>199.4407910333486</x:v>
      </x:c>
      <x:c r="Y122" s="20" t="n">
        <x:f>H122+U122</x:f>
        <x:v>0</x:v>
      </x:c>
      <x:c r="Z122" s="20" t="n">
        <x:f>G122-V122</x:f>
        <x:v>199.4407910333486</x:v>
      </x:c>
      <x:c r="AA122" s="20" t="n">
        <x:f>Y122-W122</x:f>
        <x:v>0</x:v>
      </x:c>
      <x:c r="AB122" s="20" t="n">
        <x:f>Z122-AA122</x:f>
        <x:v>199.4407910333486</x:v>
      </x:c>
    </x:row>
    <x:row r="123" ht="21" customHeight="1">
      <x:c r="A123" s="2" t="str">
        <x:v>Элитный</x:v>
      </x:c>
      <x:c r="B123" s="12" t="n">
        <x:v>2027</x:v>
      </x:c>
      <x:c r="C123" s="12" t="n">
        <x:v>2033</x:v>
      </x:c>
      <x:c r="D123" s="20" t="n">
        <x:f>Z113</x:f>
        <x:v>0</x:v>
      </x:c>
      <x:c r="E123" s="20" t="n">
        <x:f>AA113</x:f>
        <x:v>0</x:v>
      </x:c>
      <x:c r="F123" s="20" t="n">
        <x:f>0</x:f>
        <x:v>0</x:v>
      </x:c>
      <x:c r="G123" s="20" t="n">
        <x:f>D123+F123</x:f>
        <x:v>0</x:v>
      </x:c>
      <x:c r="H123" s="20" t="n">
        <x:f>E123</x:f>
        <x:v>0</x:v>
      </x:c>
      <x:c r="I123" s="20" t="n">
        <x:f>MAX(0,G123-H123)</x:f>
        <x:v>0</x:v>
      </x:c>
      <x:c r="J123" s="39" t="n">
        <x:f>0</x:f>
        <x:v>0</x:v>
      </x:c>
      <x:c r="K123" s="39" t="n">
        <x:f>IF(I123-(0)&gt;0.000000001,J123,0)</x:f>
        <x:v>0</x:v>
      </x:c>
      <x:c r="L123" s="24" t="n">
        <x:f>IF(SUM(K$116:K$125)&gt;0,MIN(MAX(0,I123-(0)),MAX(0,'Расчет'!C73-(0))*K123/SUM(K$116:K$125)),0)</x:f>
        <x:v>0</x:v>
      </x:c>
      <x:c r="M123" s="20" t="n">
        <x:f>IF(I123-(L123)&gt;0.000000001,J123,0)</x:f>
        <x:v>0</x:v>
      </x:c>
      <x:c r="N123" s="24" t="n">
        <x:f>IF(SUM(M$116:M$125)&gt;0,MIN(MAX(0,I123-(L123)),MAX(0,'Расчет'!C73-(SUM(L116:L125)))*M123/SUM(M$116:M$125)),0)</x:f>
        <x:v>0</x:v>
      </x:c>
      <x:c r="O123" s="20" t="n">
        <x:f>IF(I123-(L123+N123)&gt;0.000000001,J123,0)</x:f>
        <x:v>0</x:v>
      </x:c>
      <x:c r="P123" s="24" t="n">
        <x:f>IF(SUM(O$116:O$125)&gt;0,MIN(MAX(0,I123-(L123+N123)),MAX(0,'Расчет'!C73-(SUM(L116:L125)+SUM(N116:N125)))*O123/SUM(O$116:O$125)),0)</x:f>
        <x:v>0</x:v>
      </x:c>
      <x:c r="Q123" s="20" t="n">
        <x:f>IF(I123-(L123+N123+P123)&gt;0.000000001,J123,0)</x:f>
        <x:v>0</x:v>
      </x:c>
      <x:c r="R123" s="24" t="n">
        <x:f>IF(SUM(Q$116:Q$125)&gt;0,MIN(MAX(0,I123-(L123+N123+P123)),MAX(0,'Расчет'!C73-(SUM(L116:L125)+SUM(N116:N125)+SUM(P116:P125)))*Q123/SUM(Q$116:Q$125)),0)</x:f>
        <x:v>0</x:v>
      </x:c>
      <x:c r="S123" s="20" t="n">
        <x:f>IF(I123-(L123+N123+P123+R123)&gt;0.000000001,J123,0)</x:f>
        <x:v>0</x:v>
      </x:c>
      <x:c r="T123" s="24" t="n">
        <x:f>IF(SUM(S$116:S$125)&gt;0,MIN(MAX(0,I123-(L123+N123+P123+R123)),MAX(0,'Расчет'!C73-(SUM(L116:L125)+SUM(N116:N125)+SUM(P116:P125)+SUM(R116:R125)))*S123/SUM(S$116:S$125)),0)</x:f>
        <x:v>0</x:v>
      </x:c>
      <x:c r="U123" s="20" t="n">
        <x:f>SUM(L123,N123,P123,R123,T123)</x:f>
        <x:v>0</x:v>
      </x:c>
      <x:c r="V123" s="20" t="n">
        <x:f>0</x:f>
        <x:v>0</x:v>
      </x:c>
      <x:c r="W123" s="20" t="n">
        <x:f>0</x:f>
        <x:v>0</x:v>
      </x:c>
      <x:c r="X123" s="20" t="n">
        <x:f>G123</x:f>
        <x:v>0</x:v>
      </x:c>
      <x:c r="Y123" s="20" t="n">
        <x:f>H123+U123</x:f>
        <x:v>0</x:v>
      </x:c>
      <x:c r="Z123" s="20" t="n">
        <x:f>G123-V123</x:f>
        <x:v>0</x:v>
      </x:c>
      <x:c r="AA123" s="20" t="n">
        <x:f>Y123-W123</x:f>
        <x:v>0</x:v>
      </x:c>
      <x:c r="AB123" s="20" t="n">
        <x:f>Z123-AA123</x:f>
        <x:v>0</x:v>
      </x:c>
    </x:row>
    <x:row r="124" ht="21" customHeight="1">
      <x:c r="A124" s="2" t="str">
        <x:v>Элитный</x:v>
      </x:c>
      <x:c r="B124" s="12" t="n">
        <x:v>2027</x:v>
      </x:c>
      <x:c r="C124" s="12" t="n">
        <x:v>2034</x:v>
      </x:c>
      <x:c r="D124" s="20" t="n">
        <x:f>Z114</x:f>
        <x:v>0</x:v>
      </x:c>
      <x:c r="E124" s="20" t="n">
        <x:f>AA114</x:f>
        <x:v>0</x:v>
      </x:c>
      <x:c r="F124" s="20" t="n">
        <x:f>0</x:f>
        <x:v>0</x:v>
      </x:c>
      <x:c r="G124" s="20" t="n">
        <x:f>D124+F124</x:f>
        <x:v>0</x:v>
      </x:c>
      <x:c r="H124" s="20" t="n">
        <x:f>E124</x:f>
        <x:v>0</x:v>
      </x:c>
      <x:c r="I124" s="20" t="n">
        <x:f>MAX(0,G124-H124)</x:f>
        <x:v>0</x:v>
      </x:c>
      <x:c r="J124" s="39" t="n">
        <x:f>0</x:f>
        <x:v>0</x:v>
      </x:c>
      <x:c r="K124" s="39" t="n">
        <x:f>IF(I124-(0)&gt;0.000000001,J124,0)</x:f>
        <x:v>0</x:v>
      </x:c>
      <x:c r="L124" s="24" t="n">
        <x:f>IF(SUM(K$116:K$125)&gt;0,MIN(MAX(0,I124-(0)),MAX(0,'Расчет'!C73-(0))*K124/SUM(K$116:K$125)),0)</x:f>
        <x:v>0</x:v>
      </x:c>
      <x:c r="M124" s="20" t="n">
        <x:f>IF(I124-(L124)&gt;0.000000001,J124,0)</x:f>
        <x:v>0</x:v>
      </x:c>
      <x:c r="N124" s="24" t="n">
        <x:f>IF(SUM(M$116:M$125)&gt;0,MIN(MAX(0,I124-(L124)),MAX(0,'Расчет'!C73-(SUM(L116:L125)))*M124/SUM(M$116:M$125)),0)</x:f>
        <x:v>0</x:v>
      </x:c>
      <x:c r="O124" s="20" t="n">
        <x:f>IF(I124-(L124+N124)&gt;0.000000001,J124,0)</x:f>
        <x:v>0</x:v>
      </x:c>
      <x:c r="P124" s="24" t="n">
        <x:f>IF(SUM(O$116:O$125)&gt;0,MIN(MAX(0,I124-(L124+N124)),MAX(0,'Расчет'!C73-(SUM(L116:L125)+SUM(N116:N125)))*O124/SUM(O$116:O$125)),0)</x:f>
        <x:v>0</x:v>
      </x:c>
      <x:c r="Q124" s="20" t="n">
        <x:f>IF(I124-(L124+N124+P124)&gt;0.000000001,J124,0)</x:f>
        <x:v>0</x:v>
      </x:c>
      <x:c r="R124" s="24" t="n">
        <x:f>IF(SUM(Q$116:Q$125)&gt;0,MIN(MAX(0,I124-(L124+N124+P124)),MAX(0,'Расчет'!C73-(SUM(L116:L125)+SUM(N116:N125)+SUM(P116:P125)))*Q124/SUM(Q$116:Q$125)),0)</x:f>
        <x:v>0</x:v>
      </x:c>
      <x:c r="S124" s="20" t="n">
        <x:f>IF(I124-(L124+N124+P124+R124)&gt;0.000000001,J124,0)</x:f>
        <x:v>0</x:v>
      </x:c>
      <x:c r="T124" s="24" t="n">
        <x:f>IF(SUM(S$116:S$125)&gt;0,MIN(MAX(0,I124-(L124+N124+P124+R124)),MAX(0,'Расчет'!C73-(SUM(L116:L125)+SUM(N116:N125)+SUM(P116:P125)+SUM(R116:R125)))*S124/SUM(S$116:S$125)),0)</x:f>
        <x:v>0</x:v>
      </x:c>
      <x:c r="U124" s="20" t="n">
        <x:f>SUM(L124,N124,P124,R124,T124)</x:f>
        <x:v>0</x:v>
      </x:c>
      <x:c r="V124" s="20" t="n">
        <x:f>0</x:f>
        <x:v>0</x:v>
      </x:c>
      <x:c r="W124" s="20" t="n">
        <x:f>0</x:f>
        <x:v>0</x:v>
      </x:c>
      <x:c r="X124" s="20" t="n">
        <x:f>G124</x:f>
        <x:v>0</x:v>
      </x:c>
      <x:c r="Y124" s="20" t="n">
        <x:f>H124+U124</x:f>
        <x:v>0</x:v>
      </x:c>
      <x:c r="Z124" s="20" t="n">
        <x:f>G124-V124</x:f>
        <x:v>0</x:v>
      </x:c>
      <x:c r="AA124" s="20" t="n">
        <x:f>Y124-W124</x:f>
        <x:v>0</x:v>
      </x:c>
      <x:c r="AB124" s="20" t="n">
        <x:f>Z124-AA124</x:f>
        <x:v>0</x:v>
      </x:c>
    </x:row>
    <x:row r="125" ht="21" customHeight="1">
      <x:c r="A125" s="2" t="str">
        <x:v>Элитный</x:v>
      </x:c>
      <x:c r="B125" s="12" t="n">
        <x:v>2027</x:v>
      </x:c>
      <x:c r="C125" s="12" t="n">
        <x:v>2035</x:v>
      </x:c>
      <x:c r="D125" s="20" t="n">
        <x:f>Z115</x:f>
        <x:v>0</x:v>
      </x:c>
      <x:c r="E125" s="20" t="n">
        <x:f>AA115</x:f>
        <x:v>0</x:v>
      </x:c>
      <x:c r="F125" s="20" t="n">
        <x:f>0</x:f>
        <x:v>0</x:v>
      </x:c>
      <x:c r="G125" s="20" t="n">
        <x:f>D125+F125</x:f>
        <x:v>0</x:v>
      </x:c>
      <x:c r="H125" s="20" t="n">
        <x:f>E125</x:f>
        <x:v>0</x:v>
      </x:c>
      <x:c r="I125" s="20" t="n">
        <x:f>MAX(0,G125-H125)</x:f>
        <x:v>0</x:v>
      </x:c>
      <x:c r="J125" s="39" t="n">
        <x:f>0</x:f>
        <x:v>0</x:v>
      </x:c>
      <x:c r="K125" s="39" t="n">
        <x:f>IF(I125-(0)&gt;0.000000001,J125,0)</x:f>
        <x:v>0</x:v>
      </x:c>
      <x:c r="L125" s="24" t="n">
        <x:f>IF(SUM(K$116:K$125)&gt;0,MIN(MAX(0,I125-(0)),MAX(0,'Расчет'!C73-(0))*K125/SUM(K$116:K$125)),0)</x:f>
        <x:v>0</x:v>
      </x:c>
      <x:c r="M125" s="20" t="n">
        <x:f>IF(I125-(L125)&gt;0.000000001,J125,0)</x:f>
        <x:v>0</x:v>
      </x:c>
      <x:c r="N125" s="24" t="n">
        <x:f>IF(SUM(M$116:M$125)&gt;0,MIN(MAX(0,I125-(L125)),MAX(0,'Расчет'!C73-(SUM(L116:L125)))*M125/SUM(M$116:M$125)),0)</x:f>
        <x:v>0</x:v>
      </x:c>
      <x:c r="O125" s="20" t="n">
        <x:f>IF(I125-(L125+N125)&gt;0.000000001,J125,0)</x:f>
        <x:v>0</x:v>
      </x:c>
      <x:c r="P125" s="24" t="n">
        <x:f>IF(SUM(O$116:O$125)&gt;0,MIN(MAX(0,I125-(L125+N125)),MAX(0,'Расчет'!C73-(SUM(L116:L125)+SUM(N116:N125)))*O125/SUM(O$116:O$125)),0)</x:f>
        <x:v>0</x:v>
      </x:c>
      <x:c r="Q125" s="20" t="n">
        <x:f>IF(I125-(L125+N125+P125)&gt;0.000000001,J125,0)</x:f>
        <x:v>0</x:v>
      </x:c>
      <x:c r="R125" s="24" t="n">
        <x:f>IF(SUM(Q$116:Q$125)&gt;0,MIN(MAX(0,I125-(L125+N125+P125)),MAX(0,'Расчет'!C73-(SUM(L116:L125)+SUM(N116:N125)+SUM(P116:P125)))*Q125/SUM(Q$116:Q$125)),0)</x:f>
        <x:v>0</x:v>
      </x:c>
      <x:c r="S125" s="20" t="n">
        <x:f>IF(I125-(L125+N125+P125+R125)&gt;0.000000001,J125,0)</x:f>
        <x:v>0</x:v>
      </x:c>
      <x:c r="T125" s="24" t="n">
        <x:f>IF(SUM(S$116:S$125)&gt;0,MIN(MAX(0,I125-(L125+N125+P125+R125)),MAX(0,'Расчет'!C73-(SUM(L116:L125)+SUM(N116:N125)+SUM(P116:P125)+SUM(R116:R125)))*S125/SUM(S$116:S$125)),0)</x:f>
        <x:v>0</x:v>
      </x:c>
      <x:c r="U125" s="20" t="n">
        <x:f>SUM(L125,N125,P125,R125,T125)</x:f>
        <x:v>0</x:v>
      </x:c>
      <x:c r="V125" s="20" t="n">
        <x:f>0</x:f>
        <x:v>0</x:v>
      </x:c>
      <x:c r="W125" s="20" t="n">
        <x:f>0</x:f>
        <x:v>0</x:v>
      </x:c>
      <x:c r="X125" s="20" t="n">
        <x:f>G125</x:f>
        <x:v>0</x:v>
      </x:c>
      <x:c r="Y125" s="20" t="n">
        <x:f>H125+U125</x:f>
        <x:v>0</x:v>
      </x:c>
      <x:c r="Z125" s="20" t="n">
        <x:f>G125-V125</x:f>
        <x:v>0</x:v>
      </x:c>
      <x:c r="AA125" s="20" t="n">
        <x:f>Y125-W125</x:f>
        <x:v>0</x:v>
      </x:c>
      <x:c r="AB125" s="20" t="n">
        <x:f>Z125-AA125</x:f>
        <x:v>0</x:v>
      </x:c>
    </x:row>
    <x:row r="126" ht="21" customHeight="1">
      <x:c r="A126" s="2" t="str">
        <x:v>Элитный</x:v>
      </x:c>
      <x:c r="B126" s="12" t="n">
        <x:v>2028</x:v>
      </x:c>
      <x:c r="C126" s="12" t="n">
        <x:v>2026</x:v>
      </x:c>
      <x:c r="D126" s="20" t="n">
        <x:f>0</x:f>
        <x:v>0</x:v>
      </x:c>
      <x:c r="E126" s="20" t="n">
        <x:f>0</x:f>
        <x:v>0</x:v>
      </x:c>
      <x:c r="F126" s="20" t="n">
        <x:f>0</x:f>
        <x:v>0</x:v>
      </x:c>
      <x:c r="G126" s="20" t="n">
        <x:f>D126+F126</x:f>
        <x:v>0</x:v>
      </x:c>
      <x:c r="H126" s="20" t="n">
        <x:f>E126</x:f>
        <x:v>0</x:v>
      </x:c>
      <x:c r="I126" s="20" t="n">
        <x:f>MAX(0,G126-H126)</x:f>
        <x:v>0</x:v>
      </x:c>
      <x:c r="J126" s="39" t="n">
        <x:f>0</x:f>
        <x:v>0</x:v>
      </x:c>
      <x:c r="K126" s="39" t="n">
        <x:f>IF(I126-(0)&gt;0.000000001,J126,0)</x:f>
        <x:v>0</x:v>
      </x:c>
      <x:c r="L126" s="24" t="n">
        <x:f>IF(SUM(K$126:K$135)&gt;0,MIN(MAX(0,I126-(0)),MAX(0,'Расчет'!D73-(0))*K126/SUM(K$126:K$135)),0)</x:f>
        <x:v>0</x:v>
      </x:c>
      <x:c r="M126" s="20" t="n">
        <x:f>IF(I126-(L126)&gt;0.000000001,J126,0)</x:f>
        <x:v>0</x:v>
      </x:c>
      <x:c r="N126" s="24" t="n">
        <x:f>IF(SUM(M$126:M$135)&gt;0,MIN(MAX(0,I126-(L126)),MAX(0,'Расчет'!D73-(SUM(L126:L135)))*M126/SUM(M$126:M$135)),0)</x:f>
        <x:v>0</x:v>
      </x:c>
      <x:c r="O126" s="20" t="n">
        <x:f>IF(I126-(L126+N126)&gt;0.000000001,J126,0)</x:f>
        <x:v>0</x:v>
      </x:c>
      <x:c r="P126" s="24" t="n">
        <x:f>IF(SUM(O$126:O$135)&gt;0,MIN(MAX(0,I126-(L126+N126)),MAX(0,'Расчет'!D73-(SUM(L126:L135)+SUM(N126:N135)))*O126/SUM(O$126:O$135)),0)</x:f>
        <x:v>0</x:v>
      </x:c>
      <x:c r="Q126" s="20" t="n">
        <x:f>IF(I126-(L126+N126+P126)&gt;0.000000001,J126,0)</x:f>
        <x:v>0</x:v>
      </x:c>
      <x:c r="R126" s="24" t="n">
        <x:f>IF(SUM(Q$126:Q$135)&gt;0,MIN(MAX(0,I126-(L126+N126+P126)),MAX(0,'Расчет'!D73-(SUM(L126:L135)+SUM(N126:N135)+SUM(P126:P135)))*Q126/SUM(Q$126:Q$135)),0)</x:f>
        <x:v>0</x:v>
      </x:c>
      <x:c r="S126" s="20" t="n">
        <x:f>IF(I126-(L126+N126+P126+R126)&gt;0.000000001,J126,0)</x:f>
        <x:v>0</x:v>
      </x:c>
      <x:c r="T126" s="24" t="n">
        <x:f>IF(SUM(S$126:S$135)&gt;0,MIN(MAX(0,I126-(L126+N126+P126+R126)),MAX(0,'Расчет'!D73-(SUM(L126:L135)+SUM(N126:N135)+SUM(P126:P135)+SUM(R126:R135)))*S126/SUM(S$126:S$135)),0)</x:f>
        <x:v>0</x:v>
      </x:c>
      <x:c r="U126" s="20" t="n">
        <x:f>SUM(L126,N126,P126,R126,T126)</x:f>
        <x:v>0</x:v>
      </x:c>
      <x:c r="V126" s="20" t="n">
        <x:f>0</x:f>
        <x:v>0</x:v>
      </x:c>
      <x:c r="W126" s="20" t="n">
        <x:f>0</x:f>
        <x:v>0</x:v>
      </x:c>
      <x:c r="X126" s="20" t="n">
        <x:f>G126</x:f>
        <x:v>0</x:v>
      </x:c>
      <x:c r="Y126" s="20" t="n">
        <x:f>H126+U126</x:f>
        <x:v>0</x:v>
      </x:c>
      <x:c r="Z126" s="20" t="n">
        <x:f>G126-V126</x:f>
        <x:v>0</x:v>
      </x:c>
      <x:c r="AA126" s="20" t="n">
        <x:f>Y126-W126</x:f>
        <x:v>0</x:v>
      </x:c>
      <x:c r="AB126" s="20" t="n">
        <x:f>Z126-AA126</x:f>
        <x:v>0</x:v>
      </x:c>
    </x:row>
    <x:row r="127" ht="21" customHeight="1">
      <x:c r="A127" s="2" t="str">
        <x:v>Элитный</x:v>
      </x:c>
      <x:c r="B127" s="12" t="n">
        <x:v>2028</x:v>
      </x:c>
      <x:c r="C127" s="12" t="n">
        <x:v>2027</x:v>
      </x:c>
      <x:c r="D127" s="20" t="n">
        <x:f>0</x:f>
        <x:v>0</x:v>
      </x:c>
      <x:c r="E127" s="20" t="n">
        <x:f>0</x:f>
        <x:v>0</x:v>
      </x:c>
      <x:c r="F127" s="20" t="n">
        <x:f>0</x:f>
        <x:v>0</x:v>
      </x:c>
      <x:c r="G127" s="20" t="n">
        <x:f>D127+F127</x:f>
        <x:v>0</x:v>
      </x:c>
      <x:c r="H127" s="20" t="n">
        <x:f>E127</x:f>
        <x:v>0</x:v>
      </x:c>
      <x:c r="I127" s="20" t="n">
        <x:f>MAX(0,G127-H127)</x:f>
        <x:v>0</x:v>
      </x:c>
      <x:c r="J127" s="39" t="n">
        <x:f>0</x:f>
        <x:v>0</x:v>
      </x:c>
      <x:c r="K127" s="39" t="n">
        <x:f>IF(I127-(0)&gt;0.000000001,J127,0)</x:f>
        <x:v>0</x:v>
      </x:c>
      <x:c r="L127" s="24" t="n">
        <x:f>IF(SUM(K$126:K$135)&gt;0,MIN(MAX(0,I127-(0)),MAX(0,'Расчет'!D73-(0))*K127/SUM(K$126:K$135)),0)</x:f>
        <x:v>0</x:v>
      </x:c>
      <x:c r="M127" s="20" t="n">
        <x:f>IF(I127-(L127)&gt;0.000000001,J127,0)</x:f>
        <x:v>0</x:v>
      </x:c>
      <x:c r="N127" s="24" t="n">
        <x:f>IF(SUM(M$126:M$135)&gt;0,MIN(MAX(0,I127-(L127)),MAX(0,'Расчет'!D73-(SUM(L126:L135)))*M127/SUM(M$126:M$135)),0)</x:f>
        <x:v>0</x:v>
      </x:c>
      <x:c r="O127" s="20" t="n">
        <x:f>IF(I127-(L127+N127)&gt;0.000000001,J127,0)</x:f>
        <x:v>0</x:v>
      </x:c>
      <x:c r="P127" s="24" t="n">
        <x:f>IF(SUM(O$126:O$135)&gt;0,MIN(MAX(0,I127-(L127+N127)),MAX(0,'Расчет'!D73-(SUM(L126:L135)+SUM(N126:N135)))*O127/SUM(O$126:O$135)),0)</x:f>
        <x:v>0</x:v>
      </x:c>
      <x:c r="Q127" s="20" t="n">
        <x:f>IF(I127-(L127+N127+P127)&gt;0.000000001,J127,0)</x:f>
        <x:v>0</x:v>
      </x:c>
      <x:c r="R127" s="24" t="n">
        <x:f>IF(SUM(Q$126:Q$135)&gt;0,MIN(MAX(0,I127-(L127+N127+P127)),MAX(0,'Расчет'!D73-(SUM(L126:L135)+SUM(N126:N135)+SUM(P126:P135)))*Q127/SUM(Q$126:Q$135)),0)</x:f>
        <x:v>0</x:v>
      </x:c>
      <x:c r="S127" s="20" t="n">
        <x:f>IF(I127-(L127+N127+P127+R127)&gt;0.000000001,J127,0)</x:f>
        <x:v>0</x:v>
      </x:c>
      <x:c r="T127" s="24" t="n">
        <x:f>IF(SUM(S$126:S$135)&gt;0,MIN(MAX(0,I127-(L127+N127+P127+R127)),MAX(0,'Расчет'!D73-(SUM(L126:L135)+SUM(N126:N135)+SUM(P126:P135)+SUM(R126:R135)))*S127/SUM(S$126:S$135)),0)</x:f>
        <x:v>0</x:v>
      </x:c>
      <x:c r="U127" s="20" t="n">
        <x:f>SUM(L127,N127,P127,R127,T127)</x:f>
        <x:v>0</x:v>
      </x:c>
      <x:c r="V127" s="20" t="n">
        <x:f>0</x:f>
        <x:v>0</x:v>
      </x:c>
      <x:c r="W127" s="20" t="n">
        <x:f>0</x:f>
        <x:v>0</x:v>
      </x:c>
      <x:c r="X127" s="20" t="n">
        <x:f>G127</x:f>
        <x:v>0</x:v>
      </x:c>
      <x:c r="Y127" s="20" t="n">
        <x:f>H127+U127</x:f>
        <x:v>0</x:v>
      </x:c>
      <x:c r="Z127" s="20" t="n">
        <x:f>G127-V127</x:f>
        <x:v>0</x:v>
      </x:c>
      <x:c r="AA127" s="20" t="n">
        <x:f>Y127-W127</x:f>
        <x:v>0</x:v>
      </x:c>
      <x:c r="AB127" s="20" t="n">
        <x:f>Z127-AA127</x:f>
        <x:v>0</x:v>
      </x:c>
    </x:row>
    <x:row r="128" ht="21" customHeight="1">
      <x:c r="A128" s="2" t="str">
        <x:v>Элитный</x:v>
      </x:c>
      <x:c r="B128" s="12" t="n">
        <x:v>2028</x:v>
      </x:c>
      <x:c r="C128" s="12" t="n">
        <x:v>2028</x:v>
      </x:c>
      <x:c r="D128" s="20" t="n">
        <x:f>Z118+Z117</x:f>
        <x:v>1038.0585109392157</x:v>
      </x:c>
      <x:c r="E128" s="20" t="n">
        <x:f>AA118+AA117</x:f>
        <x:v>591.8719134800203</x:v>
      </x:c>
      <x:c r="F128" s="24" t="n">
        <x:f>'Расчет'!D64*'Допущения'!B26</x:f>
        <x:v>0</x:v>
      </x:c>
      <x:c r="G128" s="20" t="n">
        <x:f>D128+F128</x:f>
        <x:v>1038.0585109392157</x:v>
      </x:c>
      <x:c r="H128" s="20" t="n">
        <x:f>E128</x:f>
        <x:v>591.8719134800203</x:v>
      </x:c>
      <x:c r="I128" s="20" t="n">
        <x:f>MAX(0,G128-H128)</x:f>
        <x:v>446.18659745919535</x:v>
      </x:c>
      <x:c r="J128" s="38" t="n">
        <x:f>'Допущения'!B30</x:f>
        <x:v>0.1357</x:v>
      </x:c>
      <x:c r="K128" s="39" t="n">
        <x:f>IF(I128-(0)&gt;0.000000001,J128,0)</x:f>
        <x:v>0.1357</x:v>
      </x:c>
      <x:c r="L128" s="24" t="n">
        <x:f>IF(SUM(K$126:K$135)&gt;0,MIN(MAX(0,I128-(0)),MAX(0,'Расчет'!D73-(0))*K128/SUM(K$126:K$135)),0)</x:f>
        <x:v>97.94243014984102</x:v>
      </x:c>
      <x:c r="M128" s="20" t="n">
        <x:f>IF(I128-(L128)&gt;0.000000001,J128,0)</x:f>
        <x:v>0.1357</x:v>
      </x:c>
      <x:c r="N128" s="24" t="n">
        <x:f>IF(SUM(M$126:M$135)&gt;0,MIN(MAX(0,I128-(L128)),MAX(0,'Расчет'!D73-(SUM(L126:L135)))*M128/SUM(M$126:M$135)),0)</x:f>
        <x:v>1.5427303878823294e-14</x:v>
      </x:c>
      <x:c r="O128" s="20" t="n">
        <x:f>IF(I128-(L128+N128)&gt;0.000000001,J128,0)</x:f>
        <x:v>0.1357</x:v>
      </x:c>
      <x:c r="P128" s="24" t="n">
        <x:f>IF(SUM(O$126:O$135)&gt;0,MIN(MAX(0,I128-(L128+N128)),MAX(0,'Расчет'!D73-(SUM(L126:L135)+SUM(N126:N135)))*O128/SUM(O$126:O$135)),0)</x:f>
        <x:v>0</x:v>
      </x:c>
      <x:c r="Q128" s="20" t="n">
        <x:f>IF(I128-(L128+N128+P128)&gt;0.000000001,J128,0)</x:f>
        <x:v>0.1357</x:v>
      </x:c>
      <x:c r="R128" s="24" t="n">
        <x:f>IF(SUM(Q$126:Q$135)&gt;0,MIN(MAX(0,I128-(L128+N128+P128)),MAX(0,'Расчет'!D73-(SUM(L126:L135)+SUM(N126:N135)+SUM(P126:P135)))*Q128/SUM(Q$126:Q$135)),0)</x:f>
        <x:v>0</x:v>
      </x:c>
      <x:c r="S128" s="20" t="n">
        <x:f>IF(I128-(L128+N128+P128+R128)&gt;0.000000001,J128,0)</x:f>
        <x:v>0.1357</x:v>
      </x:c>
      <x:c r="T128" s="24" t="n">
        <x:f>IF(SUM(S$126:S$135)&gt;0,MIN(MAX(0,I128-(L128+N128+P128+R128)),MAX(0,'Расчет'!D73-(SUM(L126:L135)+SUM(N126:N135)+SUM(P126:P135)+SUM(R126:R135)))*S128/SUM(S$126:S$135)),0)</x:f>
        <x:v>0</x:v>
      </x:c>
      <x:c r="U128" s="20" t="n">
        <x:f>SUM(L128,N128,P128,R128,T128)</x:f>
        <x:v>97.94243014984103</x:v>
      </x:c>
      <x:c r="V128" s="24" t="n">
        <x:f>G128*(1-'Допущения'!D7)</x:f>
        <x:v>934.2526598452941</x:v>
      </x:c>
      <x:c r="W128" s="24" t="n">
        <x:f>Y128*(1-'Допущения'!D7)</x:f>
        <x:v>620.8329092668753</x:v>
      </x:c>
      <x:c r="X128" s="20" t="n">
        <x:f>G128</x:f>
        <x:v>1038.0585109392157</x:v>
      </x:c>
      <x:c r="Y128" s="20" t="n">
        <x:f>H128+U128</x:f>
        <x:v>689.8143436298614</x:v>
      </x:c>
      <x:c r="Z128" s="20" t="n">
        <x:f>G128-V128</x:f>
        <x:v>103.80585109392155</x:v>
      </x:c>
      <x:c r="AA128" s="20" t="n">
        <x:f>Y128-W128</x:f>
        <x:v>68.98143436298608</x:v>
      </x:c>
      <x:c r="AB128" s="20" t="n">
        <x:f>Z128-AA128</x:f>
        <x:v>34.82441673093547</x:v>
      </x:c>
    </x:row>
    <x:row r="129" ht="21" customHeight="1">
      <x:c r="A129" s="2" t="str">
        <x:v>Элитный</x:v>
      </x:c>
      <x:c r="B129" s="12" t="n">
        <x:v>2028</x:v>
      </x:c>
      <x:c r="C129" s="12" t="n">
        <x:v>2029</x:v>
      </x:c>
      <x:c r="D129" s="20" t="n">
        <x:f>Z119</x:f>
        <x:v>816.4797333042126</x:v>
      </x:c>
      <x:c r="E129" s="20" t="n">
        <x:f>AA119</x:f>
        <x:v>259.2955452082703</x:v>
      </x:c>
      <x:c r="F129" s="24" t="n">
        <x:f>'Расчет'!D64*'Допущения'!C26</x:f>
        <x:v>0.6255782000955146</x:v>
      </x:c>
      <x:c r="G129" s="20" t="n">
        <x:f>D129+F129</x:f>
        <x:v>817.1053115043081</x:v>
      </x:c>
      <x:c r="H129" s="20" t="n">
        <x:f>E129</x:f>
        <x:v>259.2955452082703</x:v>
      </x:c>
      <x:c r="I129" s="20" t="n">
        <x:f>MAX(0,G129-H129)</x:f>
        <x:v>557.8097662960379</x:v>
      </x:c>
      <x:c r="J129" s="38" t="n">
        <x:f>'Допущения'!C30</x:f>
        <x:v>0.3612</x:v>
      </x:c>
      <x:c r="K129" s="39" t="n">
        <x:f>IF(I129-(0)&gt;0.000000001,J129,0)</x:f>
        <x:v>0.3612</x:v>
      </x:c>
      <x:c r="L129" s="24" t="n">
        <x:f>IF(SUM(K$126:K$135)&gt;0,MIN(MAX(0,I129-(0)),MAX(0,'Расчет'!D73-(0))*K129/SUM(K$126:K$135)),0)</x:f>
        <x:v>260.6986423737847</x:v>
      </x:c>
      <x:c r="M129" s="20" t="n">
        <x:f>IF(I129-(L129)&gt;0.000000001,J129,0)</x:f>
        <x:v>0.3612</x:v>
      </x:c>
      <x:c r="N129" s="24" t="n">
        <x:f>IF(SUM(M$126:M$135)&gt;0,MIN(MAX(0,I129-(L129)),MAX(0,'Расчет'!D73-(SUM(L126:L135)))*M129/SUM(M$126:M$135)),0)</x:f>
        <x:v>4.106368578504771e-14</x:v>
      </x:c>
      <x:c r="O129" s="20" t="n">
        <x:f>IF(I129-(L129+N129)&gt;0.000000001,J129,0)</x:f>
        <x:v>0.3612</x:v>
      </x:c>
      <x:c r="P129" s="24" t="n">
        <x:f>IF(SUM(O$126:O$135)&gt;0,MIN(MAX(0,I129-(L129+N129)),MAX(0,'Расчет'!D73-(SUM(L126:L135)+SUM(N126:N135)))*O129/SUM(O$126:O$135)),0)</x:f>
        <x:v>0</x:v>
      </x:c>
      <x:c r="Q129" s="20" t="n">
        <x:f>IF(I129-(L129+N129+P129)&gt;0.000000001,J129,0)</x:f>
        <x:v>0.3612</x:v>
      </x:c>
      <x:c r="R129" s="24" t="n">
        <x:f>IF(SUM(Q$126:Q$135)&gt;0,MIN(MAX(0,I129-(L129+N129+P129)),MAX(0,'Расчет'!D73-(SUM(L126:L135)+SUM(N126:N135)+SUM(P126:P135)))*Q129/SUM(Q$126:Q$135)),0)</x:f>
        <x:v>0</x:v>
      </x:c>
      <x:c r="S129" s="20" t="n">
        <x:f>IF(I129-(L129+N129+P129+R129)&gt;0.000000001,J129,0)</x:f>
        <x:v>0.3612</x:v>
      </x:c>
      <x:c r="T129" s="24" t="n">
        <x:f>IF(SUM(S$126:S$135)&gt;0,MIN(MAX(0,I129-(L129+N129+P129+R129)),MAX(0,'Расчет'!D73-(SUM(L126:L135)+SUM(N126:N135)+SUM(P126:P135)+SUM(R126:R135)))*S129/SUM(S$126:S$135)),0)</x:f>
        <x:v>0</x:v>
      </x:c>
      <x:c r="U129" s="20" t="n">
        <x:f>SUM(L129,N129,P129,R129,T129)</x:f>
        <x:v>260.69864237378476</x:v>
      </x:c>
      <x:c r="V129" s="20" t="n">
        <x:f>0</x:f>
        <x:v>0</x:v>
      </x:c>
      <x:c r="W129" s="20" t="n">
        <x:f>0</x:f>
        <x:v>0</x:v>
      </x:c>
      <x:c r="X129" s="20" t="n">
        <x:f>G129</x:f>
        <x:v>817.1053115043081</x:v>
      </x:c>
      <x:c r="Y129" s="20" t="n">
        <x:f>H129+U129</x:f>
        <x:v>519.994187582055</x:v>
      </x:c>
      <x:c r="Z129" s="20" t="n">
        <x:f>G129-V129</x:f>
        <x:v>817.1053115043081</x:v>
      </x:c>
      <x:c r="AA129" s="20" t="n">
        <x:f>Y129-W129</x:f>
        <x:v>519.994187582055</x:v>
      </x:c>
      <x:c r="AB129" s="20" t="n">
        <x:f>Z129-AA129</x:f>
        <x:v>297.1111239222531</x:v>
      </x:c>
    </x:row>
    <x:row r="130" ht="21" customHeight="1">
      <x:c r="A130" s="2" t="str">
        <x:v>Элитный</x:v>
      </x:c>
      <x:c r="B130" s="12" t="n">
        <x:v>2028</x:v>
      </x:c>
      <x:c r="C130" s="12" t="n">
        <x:v>2030</x:v>
      </x:c>
      <x:c r="D130" s="20" t="n">
        <x:f>Z120</x:f>
        <x:v>730.6702157628132</x:v>
      </x:c>
      <x:c r="E130" s="20" t="n">
        <x:f>AA120</x:f>
        <x:v>118.1373549836072</x:v>
      </x:c>
      <x:c r="F130" s="24" t="n">
        <x:f>'Расчет'!D64*'Допущения'!D26</x:f>
        <x:v>27.830082839318923</x:v>
      </x:c>
      <x:c r="G130" s="20" t="n">
        <x:f>D130+F130</x:f>
        <x:v>758.5002986021321</x:v>
      </x:c>
      <x:c r="H130" s="20" t="n">
        <x:f>E130</x:f>
        <x:v>118.1373549836072</x:v>
      </x:c>
      <x:c r="I130" s="20" t="n">
        <x:f>MAX(0,G130-H130)</x:f>
        <x:v>640.3629436185249</x:v>
      </x:c>
      <x:c r="J130" s="38" t="n">
        <x:f>'Допущения'!D30</x:f>
        <x:v>0.3111</x:v>
      </x:c>
      <x:c r="K130" s="39" t="n">
        <x:f>IF(I130-(0)&gt;0.000000001,J130,0)</x:f>
        <x:v>0.3111</x:v>
      </x:c>
      <x:c r="L130" s="24" t="n">
        <x:f>IF(SUM(K$126:K$135)&gt;0,MIN(MAX(0,I130-(0)),MAX(0,'Расчет'!D73-(0))*K130/SUM(K$126:K$135)),0)</x:f>
        <x:v>224.53861473556037</x:v>
      </x:c>
      <x:c r="M130" s="20" t="n">
        <x:f>IF(I130-(L130)&gt;0.000000001,J130,0)</x:f>
        <x:v>0.3111</x:v>
      </x:c>
      <x:c r="N130" s="24" t="n">
        <x:f>IF(SUM(M$126:M$135)&gt;0,MIN(MAX(0,I130-(L130)),MAX(0,'Расчет'!D73-(SUM(L126:L135)))*M130/SUM(M$126:M$135)),0)</x:f>
        <x:v>3.5367975215194745e-14</x:v>
      </x:c>
      <x:c r="O130" s="20" t="n">
        <x:f>IF(I130-(L130+N130)&gt;0.000000001,J130,0)</x:f>
        <x:v>0.3111</x:v>
      </x:c>
      <x:c r="P130" s="24" t="n">
        <x:f>IF(SUM(O$126:O$135)&gt;0,MIN(MAX(0,I130-(L130+N130)),MAX(0,'Расчет'!D73-(SUM(L126:L135)+SUM(N126:N135)))*O130/SUM(O$126:O$135)),0)</x:f>
        <x:v>0</x:v>
      </x:c>
      <x:c r="Q130" s="20" t="n">
        <x:f>IF(I130-(L130+N130+P130)&gt;0.000000001,J130,0)</x:f>
        <x:v>0.3111</x:v>
      </x:c>
      <x:c r="R130" s="24" t="n">
        <x:f>IF(SUM(Q$126:Q$135)&gt;0,MIN(MAX(0,I130-(L130+N130+P130)),MAX(0,'Расчет'!D73-(SUM(L126:L135)+SUM(N126:N135)+SUM(P126:P135)))*Q130/SUM(Q$126:Q$135)),0)</x:f>
        <x:v>0</x:v>
      </x:c>
      <x:c r="S130" s="20" t="n">
        <x:f>IF(I130-(L130+N130+P130+R130)&gt;0.000000001,J130,0)</x:f>
        <x:v>0.3111</x:v>
      </x:c>
      <x:c r="T130" s="24" t="n">
        <x:f>IF(SUM(S$126:S$135)&gt;0,MIN(MAX(0,I130-(L130+N130+P130+R130)),MAX(0,'Расчет'!D73-(SUM(L126:L135)+SUM(N126:N135)+SUM(P126:P135)+SUM(R126:R135)))*S130/SUM(S$126:S$135)),0)</x:f>
        <x:v>0</x:v>
      </x:c>
      <x:c r="U130" s="20" t="n">
        <x:f>SUM(L130,N130,P130,R130,T130)</x:f>
        <x:v>224.5386147355604</x:v>
      </x:c>
      <x:c r="V130" s="20" t="n">
        <x:f>0</x:f>
        <x:v>0</x:v>
      </x:c>
      <x:c r="W130" s="20" t="n">
        <x:f>0</x:f>
        <x:v>0</x:v>
      </x:c>
      <x:c r="X130" s="20" t="n">
        <x:f>G130</x:f>
        <x:v>758.5002986021321</x:v>
      </x:c>
      <x:c r="Y130" s="20" t="n">
        <x:f>H130+U130</x:f>
        <x:v>342.6759697191676</x:v>
      </x:c>
      <x:c r="Z130" s="20" t="n">
        <x:f>G130-V130</x:f>
        <x:v>758.5002986021321</x:v>
      </x:c>
      <x:c r="AA130" s="20" t="n">
        <x:f>Y130-W130</x:f>
        <x:v>342.6759697191676</x:v>
      </x:c>
      <x:c r="AB130" s="20" t="n">
        <x:f>Z130-AA130</x:f>
        <x:v>415.82432888296455</x:v>
      </x:c>
    </x:row>
    <x:row r="131" ht="21" customHeight="1">
      <x:c r="A131" s="2" t="str">
        <x:v>Элитный</x:v>
      </x:c>
      <x:c r="B131" s="12" t="n">
        <x:v>2028</x:v>
      </x:c>
      <x:c r="C131" s="12" t="n">
        <x:v>2031</x:v>
      </x:c>
      <x:c r="D131" s="20" t="n">
        <x:f>Z121</x:f>
        <x:v>400.0077402746167</x:v>
      </x:c>
      <x:c r="E131" s="20" t="n">
        <x:f>AA121</x:f>
        <x:v>26.154834058953384</x:v>
      </x:c>
      <x:c r="F131" s="24" t="n">
        <x:f>'Расчет'!D64*'Допущения'!E26</x:f>
        <x:v>436.79862012744553</x:v>
      </x:c>
      <x:c r="G131" s="20" t="n">
        <x:f>D131+F131</x:f>
        <x:v>836.8063604020622</x:v>
      </x:c>
      <x:c r="H131" s="20" t="n">
        <x:f>E131</x:f>
        <x:v>26.154834058953384</x:v>
      </x:c>
      <x:c r="I131" s="20" t="n">
        <x:f>MAX(0,G131-H131)</x:f>
        <x:v>810.6515263431088</x:v>
      </x:c>
      <x:c r="J131" s="38" t="n">
        <x:f>'Допущения'!E30</x:f>
        <x:v>0.1495</x:v>
      </x:c>
      <x:c r="K131" s="39" t="n">
        <x:f>IF(I131-(0)&gt;0.000000001,J131,0)</x:f>
        <x:v>0.1495</x:v>
      </x:c>
      <x:c r="L131" s="24" t="n">
        <x:f>IF(SUM(K$126:K$135)&gt;0,MIN(MAX(0,I131-(0)),MAX(0,'Расчет'!D73-(0))*K131/SUM(K$126:K$135)),0)</x:f>
        <x:v>107.90267728372316</x:v>
      </x:c>
      <x:c r="M131" s="20" t="n">
        <x:f>IF(I131-(L131)&gt;0.000000001,J131,0)</x:f>
        <x:v>0.1495</x:v>
      </x:c>
      <x:c r="N131" s="24" t="n">
        <x:f>IF(SUM(M$126:M$135)&gt;0,MIN(MAX(0,I131-(L131)),MAX(0,'Расчет'!D73-(SUM(L126:L135)))*M131/SUM(M$126:M$135)),0)</x:f>
        <x:v>1.6996182239381596e-14</x:v>
      </x:c>
      <x:c r="O131" s="20" t="n">
        <x:f>IF(I131-(L131+N131)&gt;0.000000001,J131,0)</x:f>
        <x:v>0.1495</x:v>
      </x:c>
      <x:c r="P131" s="24" t="n">
        <x:f>IF(SUM(O$126:O$135)&gt;0,MIN(MAX(0,I131-(L131+N131)),MAX(0,'Расчет'!D73-(SUM(L126:L135)+SUM(N126:N135)))*O131/SUM(O$126:O$135)),0)</x:f>
        <x:v>0</x:v>
      </x:c>
      <x:c r="Q131" s="20" t="n">
        <x:f>IF(I131-(L131+N131+P131)&gt;0.000000001,J131,0)</x:f>
        <x:v>0.1495</x:v>
      </x:c>
      <x:c r="R131" s="24" t="n">
        <x:f>IF(SUM(Q$126:Q$135)&gt;0,MIN(MAX(0,I131-(L131+N131+P131)),MAX(0,'Расчет'!D73-(SUM(L126:L135)+SUM(N126:N135)+SUM(P126:P135)))*Q131/SUM(Q$126:Q$135)),0)</x:f>
        <x:v>0</x:v>
      </x:c>
      <x:c r="S131" s="20" t="n">
        <x:f>IF(I131-(L131+N131+P131+R131)&gt;0.000000001,J131,0)</x:f>
        <x:v>0.1495</x:v>
      </x:c>
      <x:c r="T131" s="24" t="n">
        <x:f>IF(SUM(S$126:S$135)&gt;0,MIN(MAX(0,I131-(L131+N131+P131+R131)),MAX(0,'Расчет'!D73-(SUM(L126:L135)+SUM(N126:N135)+SUM(P126:P135)+SUM(R126:R135)))*S131/SUM(S$126:S$135)),0)</x:f>
        <x:v>0</x:v>
      </x:c>
      <x:c r="U131" s="20" t="n">
        <x:f>SUM(L131,N131,P131,R131,T131)</x:f>
        <x:v>107.90267728372318</x:v>
      </x:c>
      <x:c r="V131" s="20" t="n">
        <x:f>0</x:f>
        <x:v>0</x:v>
      </x:c>
      <x:c r="W131" s="20" t="n">
        <x:f>0</x:f>
        <x:v>0</x:v>
      </x:c>
      <x:c r="X131" s="20" t="n">
        <x:f>G131</x:f>
        <x:v>836.8063604020622</x:v>
      </x:c>
      <x:c r="Y131" s="20" t="n">
        <x:f>H131+U131</x:f>
        <x:v>134.05751134267655</x:v>
      </x:c>
      <x:c r="Z131" s="20" t="n">
        <x:f>G131-V131</x:f>
        <x:v>836.8063604020622</x:v>
      </x:c>
      <x:c r="AA131" s="20" t="n">
        <x:f>Y131-W131</x:f>
        <x:v>134.05751134267655</x:v>
      </x:c>
      <x:c r="AB131" s="20" t="n">
        <x:f>Z131-AA131</x:f>
        <x:v>702.7488490593856</x:v>
      </x:c>
    </x:row>
    <x:row r="132" ht="21" customHeight="1">
      <x:c r="A132" s="2" t="str">
        <x:v>Элитный</x:v>
      </x:c>
      <x:c r="B132" s="12" t="n">
        <x:v>2028</x:v>
      </x:c>
      <x:c r="C132" s="12" t="n">
        <x:v>2032</x:v>
      </x:c>
      <x:c r="D132" s="20" t="n">
        <x:f>Z122</x:f>
        <x:v>199.4407910333486</x:v>
      </x:c>
      <x:c r="E132" s="20" t="n">
        <x:f>AA122</x:f>
        <x:v>0</x:v>
      </x:c>
      <x:c r="F132" s="24" t="n">
        <x:f>'Расчет'!D64*'Допущения'!F26</x:f>
        <x:v>296.28471563791845</x:v>
      </x:c>
      <x:c r="G132" s="20" t="n">
        <x:f>D132+F132</x:f>
        <x:v>495.72550667126706</x:v>
      </x:c>
      <x:c r="H132" s="20" t="n">
        <x:f>E132</x:f>
        <x:v>0</x:v>
      </x:c>
      <x:c r="I132" s="20" t="n">
        <x:f>MAX(0,G132-H132)</x:f>
        <x:v>495.72550667126706</x:v>
      </x:c>
      <x:c r="J132" s="38" t="n">
        <x:f>'Допущения'!F30</x:f>
        <x:v>0.0425</x:v>
      </x:c>
      <x:c r="K132" s="39" t="n">
        <x:f>IF(I132-(0)&gt;0.000000001,J132,0)</x:f>
        <x:v>0.0425</x:v>
      </x:c>
      <x:c r="L132" s="24" t="n">
        <x:f>IF(SUM(K$126:K$135)&gt;0,MIN(MAX(0,I132-(0)),MAX(0,'Расчет'!D73-(0))*K132/SUM(K$126:K$135)),0)</x:f>
        <x:v>30.674674144202243</x:v>
      </x:c>
      <x:c r="M132" s="20" t="n">
        <x:f>IF(I132-(L132)&gt;0.000000001,J132,0)</x:f>
        <x:v>0.0425</x:v>
      </x:c>
      <x:c r="N132" s="24" t="n">
        <x:f>IF(SUM(M$126:M$135)&gt;0,MIN(MAX(0,I132-(L132)),MAX(0,'Расчет'!D73-(SUM(L126:L135)))*M132/SUM(M$126:M$135)),0)</x:f>
        <x:v>4.831690603168682e-15</x:v>
      </x:c>
      <x:c r="O132" s="20" t="n">
        <x:f>IF(I132-(L132+N132)&gt;0.000000001,J132,0)</x:f>
        <x:v>0.0425</x:v>
      </x:c>
      <x:c r="P132" s="24" t="n">
        <x:f>IF(SUM(O$126:O$135)&gt;0,MIN(MAX(0,I132-(L132+N132)),MAX(0,'Расчет'!D73-(SUM(L126:L135)+SUM(N126:N135)))*O132/SUM(O$126:O$135)),0)</x:f>
        <x:v>0</x:v>
      </x:c>
      <x:c r="Q132" s="20" t="n">
        <x:f>IF(I132-(L132+N132+P132)&gt;0.000000001,J132,0)</x:f>
        <x:v>0.0425</x:v>
      </x:c>
      <x:c r="R132" s="24" t="n">
        <x:f>IF(SUM(Q$126:Q$135)&gt;0,MIN(MAX(0,I132-(L132+N132+P132)),MAX(0,'Расчет'!D73-(SUM(L126:L135)+SUM(N126:N135)+SUM(P126:P135)))*Q132/SUM(Q$126:Q$135)),0)</x:f>
        <x:v>0</x:v>
      </x:c>
      <x:c r="S132" s="20" t="n">
        <x:f>IF(I132-(L132+N132+P132+R132)&gt;0.000000001,J132,0)</x:f>
        <x:v>0.0425</x:v>
      </x:c>
      <x:c r="T132" s="24" t="n">
        <x:f>IF(SUM(S$126:S$135)&gt;0,MIN(MAX(0,I132-(L132+N132+P132+R132)),MAX(0,'Расчет'!D73-(SUM(L126:L135)+SUM(N126:N135)+SUM(P126:P135)+SUM(R126:R135)))*S132/SUM(S$126:S$135)),0)</x:f>
        <x:v>0</x:v>
      </x:c>
      <x:c r="U132" s="20" t="n">
        <x:f>SUM(L132,N132,P132,R132,T132)</x:f>
        <x:v>30.674674144202246</x:v>
      </x:c>
      <x:c r="V132" s="20" t="n">
        <x:f>0</x:f>
        <x:v>0</x:v>
      </x:c>
      <x:c r="W132" s="20" t="n">
        <x:f>0</x:f>
        <x:v>0</x:v>
      </x:c>
      <x:c r="X132" s="20" t="n">
        <x:f>G132</x:f>
        <x:v>495.72550667126706</x:v>
      </x:c>
      <x:c r="Y132" s="20" t="n">
        <x:f>H132+U132</x:f>
        <x:v>30.674674144202246</x:v>
      </x:c>
      <x:c r="Z132" s="20" t="n">
        <x:f>G132-V132</x:f>
        <x:v>495.72550667126706</x:v>
      </x:c>
      <x:c r="AA132" s="20" t="n">
        <x:f>Y132-W132</x:f>
        <x:v>30.674674144202246</x:v>
      </x:c>
      <x:c r="AB132" s="20" t="n">
        <x:f>Z132-AA132</x:f>
        <x:v>465.0508325270648</x:v>
      </x:c>
    </x:row>
    <x:row r="133" ht="21" customHeight="1">
      <x:c r="A133" s="2" t="str">
        <x:v>Элитный</x:v>
      </x:c>
      <x:c r="B133" s="12" t="n">
        <x:v>2028</x:v>
      </x:c>
      <x:c r="C133" s="12" t="n">
        <x:v>2033</x:v>
      </x:c>
      <x:c r="D133" s="20" t="n">
        <x:f>Z123</x:f>
        <x:v>0</x:v>
      </x:c>
      <x:c r="E133" s="20" t="n">
        <x:f>AA123</x:f>
        <x:v>0</x:v>
      </x:c>
      <x:c r="F133" s="24" t="n">
        <x:f>'Расчет'!D64*'Допущения'!G26</x:f>
        <x:v>224.9671693357106</x:v>
      </x:c>
      <x:c r="G133" s="20" t="n">
        <x:f>D133+F133</x:f>
        <x:v>224.9671693357106</x:v>
      </x:c>
      <x:c r="H133" s="20" t="n">
        <x:f>E133</x:f>
        <x:v>0</x:v>
      </x:c>
      <x:c r="I133" s="20" t="n">
        <x:f>MAX(0,G133-H133)</x:f>
        <x:v>224.9671693357106</x:v>
      </x:c>
      <x:c r="J133" s="39" t="n">
        <x:f>0</x:f>
        <x:v>0</x:v>
      </x:c>
      <x:c r="K133" s="39" t="n">
        <x:f>IF(I133-(0)&gt;0.000000001,J133,0)</x:f>
        <x:v>0</x:v>
      </x:c>
      <x:c r="L133" s="24" t="n">
        <x:f>IF(SUM(K$126:K$135)&gt;0,MIN(MAX(0,I133-(0)),MAX(0,'Расчет'!D73-(0))*K133/SUM(K$126:K$135)),0)</x:f>
        <x:v>0</x:v>
      </x:c>
      <x:c r="M133" s="20" t="n">
        <x:f>IF(I133-(L133)&gt;0.000000001,J133,0)</x:f>
        <x:v>0</x:v>
      </x:c>
      <x:c r="N133" s="24" t="n">
        <x:f>IF(SUM(M$126:M$135)&gt;0,MIN(MAX(0,I133-(L133)),MAX(0,'Расчет'!D73-(SUM(L126:L135)))*M133/SUM(M$126:M$135)),0)</x:f>
        <x:v>0</x:v>
      </x:c>
      <x:c r="O133" s="20" t="n">
        <x:f>IF(I133-(L133+N133)&gt;0.000000001,J133,0)</x:f>
        <x:v>0</x:v>
      </x:c>
      <x:c r="P133" s="24" t="n">
        <x:f>IF(SUM(O$126:O$135)&gt;0,MIN(MAX(0,I133-(L133+N133)),MAX(0,'Расчет'!D73-(SUM(L126:L135)+SUM(N126:N135)))*O133/SUM(O$126:O$135)),0)</x:f>
        <x:v>0</x:v>
      </x:c>
      <x:c r="Q133" s="20" t="n">
        <x:f>IF(I133-(L133+N133+P133)&gt;0.000000001,J133,0)</x:f>
        <x:v>0</x:v>
      </x:c>
      <x:c r="R133" s="24" t="n">
        <x:f>IF(SUM(Q$126:Q$135)&gt;0,MIN(MAX(0,I133-(L133+N133+P133)),MAX(0,'Расчет'!D73-(SUM(L126:L135)+SUM(N126:N135)+SUM(P126:P135)))*Q133/SUM(Q$126:Q$135)),0)</x:f>
        <x:v>0</x:v>
      </x:c>
      <x:c r="S133" s="20" t="n">
        <x:f>IF(I133-(L133+N133+P133+R133)&gt;0.000000001,J133,0)</x:f>
        <x:v>0</x:v>
      </x:c>
      <x:c r="T133" s="24" t="n">
        <x:f>IF(SUM(S$126:S$135)&gt;0,MIN(MAX(0,I133-(L133+N133+P133+R133)),MAX(0,'Расчет'!D73-(SUM(L126:L135)+SUM(N126:N135)+SUM(P126:P135)+SUM(R126:R135)))*S133/SUM(S$126:S$135)),0)</x:f>
        <x:v>0</x:v>
      </x:c>
      <x:c r="U133" s="20" t="n">
        <x:f>SUM(L133,N133,P133,R133,T133)</x:f>
        <x:v>0</x:v>
      </x:c>
      <x:c r="V133" s="20" t="n">
        <x:f>0</x:f>
        <x:v>0</x:v>
      </x:c>
      <x:c r="W133" s="20" t="n">
        <x:f>0</x:f>
        <x:v>0</x:v>
      </x:c>
      <x:c r="X133" s="20" t="n">
        <x:f>G133</x:f>
        <x:v>224.9671693357106</x:v>
      </x:c>
      <x:c r="Y133" s="20" t="n">
        <x:f>H133+U133</x:f>
        <x:v>0</x:v>
      </x:c>
      <x:c r="Z133" s="20" t="n">
        <x:f>G133-V133</x:f>
        <x:v>224.9671693357106</x:v>
      </x:c>
      <x:c r="AA133" s="20" t="n">
        <x:f>Y133-W133</x:f>
        <x:v>0</x:v>
      </x:c>
      <x:c r="AB133" s="20" t="n">
        <x:f>Z133-AA133</x:f>
        <x:v>224.9671693357106</x:v>
      </x:c>
    </x:row>
    <x:row r="134" ht="21" customHeight="1">
      <x:c r="A134" s="2" t="str">
        <x:v>Элитный</x:v>
      </x:c>
      <x:c r="B134" s="12" t="n">
        <x:v>2028</x:v>
      </x:c>
      <x:c r="C134" s="12" t="n">
        <x:v>2034</x:v>
      </x:c>
      <x:c r="D134" s="20" t="n">
        <x:f>Z124</x:f>
        <x:v>0</x:v>
      </x:c>
      <x:c r="E134" s="20" t="n">
        <x:f>AA124</x:f>
        <x:v>0</x:v>
      </x:c>
      <x:c r="F134" s="20" t="n">
        <x:f>0</x:f>
        <x:v>0</x:v>
      </x:c>
      <x:c r="G134" s="20" t="n">
        <x:f>D134+F134</x:f>
        <x:v>0</x:v>
      </x:c>
      <x:c r="H134" s="20" t="n">
        <x:f>E134</x:f>
        <x:v>0</x:v>
      </x:c>
      <x:c r="I134" s="20" t="n">
        <x:f>MAX(0,G134-H134)</x:f>
        <x:v>0</x:v>
      </x:c>
      <x:c r="J134" s="39" t="n">
        <x:f>0</x:f>
        <x:v>0</x:v>
      </x:c>
      <x:c r="K134" s="39" t="n">
        <x:f>IF(I134-(0)&gt;0.000000001,J134,0)</x:f>
        <x:v>0</x:v>
      </x:c>
      <x:c r="L134" s="24" t="n">
        <x:f>IF(SUM(K$126:K$135)&gt;0,MIN(MAX(0,I134-(0)),MAX(0,'Расчет'!D73-(0))*K134/SUM(K$126:K$135)),0)</x:f>
        <x:v>0</x:v>
      </x:c>
      <x:c r="M134" s="20" t="n">
        <x:f>IF(I134-(L134)&gt;0.000000001,J134,0)</x:f>
        <x:v>0</x:v>
      </x:c>
      <x:c r="N134" s="24" t="n">
        <x:f>IF(SUM(M$126:M$135)&gt;0,MIN(MAX(0,I134-(L134)),MAX(0,'Расчет'!D73-(SUM(L126:L135)))*M134/SUM(M$126:M$135)),0)</x:f>
        <x:v>0</x:v>
      </x:c>
      <x:c r="O134" s="20" t="n">
        <x:f>IF(I134-(L134+N134)&gt;0.000000001,J134,0)</x:f>
        <x:v>0</x:v>
      </x:c>
      <x:c r="P134" s="24" t="n">
        <x:f>IF(SUM(O$126:O$135)&gt;0,MIN(MAX(0,I134-(L134+N134)),MAX(0,'Расчет'!D73-(SUM(L126:L135)+SUM(N126:N135)))*O134/SUM(O$126:O$135)),0)</x:f>
        <x:v>0</x:v>
      </x:c>
      <x:c r="Q134" s="20" t="n">
        <x:f>IF(I134-(L134+N134+P134)&gt;0.000000001,J134,0)</x:f>
        <x:v>0</x:v>
      </x:c>
      <x:c r="R134" s="24" t="n">
        <x:f>IF(SUM(Q$126:Q$135)&gt;0,MIN(MAX(0,I134-(L134+N134+P134)),MAX(0,'Расчет'!D73-(SUM(L126:L135)+SUM(N126:N135)+SUM(P126:P135)))*Q134/SUM(Q$126:Q$135)),0)</x:f>
        <x:v>0</x:v>
      </x:c>
      <x:c r="S134" s="20" t="n">
        <x:f>IF(I134-(L134+N134+P134+R134)&gt;0.000000001,J134,0)</x:f>
        <x:v>0</x:v>
      </x:c>
      <x:c r="T134" s="24" t="n">
        <x:f>IF(SUM(S$126:S$135)&gt;0,MIN(MAX(0,I134-(L134+N134+P134+R134)),MAX(0,'Расчет'!D73-(SUM(L126:L135)+SUM(N126:N135)+SUM(P126:P135)+SUM(R126:R135)))*S134/SUM(S$126:S$135)),0)</x:f>
        <x:v>0</x:v>
      </x:c>
      <x:c r="U134" s="20" t="n">
        <x:f>SUM(L134,N134,P134,R134,T134)</x:f>
        <x:v>0</x:v>
      </x:c>
      <x:c r="V134" s="20" t="n">
        <x:f>0</x:f>
        <x:v>0</x:v>
      </x:c>
      <x:c r="W134" s="20" t="n">
        <x:f>0</x:f>
        <x:v>0</x:v>
      </x:c>
      <x:c r="X134" s="20" t="n">
        <x:f>G134</x:f>
        <x:v>0</x:v>
      </x:c>
      <x:c r="Y134" s="20" t="n">
        <x:f>H134+U134</x:f>
        <x:v>0</x:v>
      </x:c>
      <x:c r="Z134" s="20" t="n">
        <x:f>G134-V134</x:f>
        <x:v>0</x:v>
      </x:c>
      <x:c r="AA134" s="20" t="n">
        <x:f>Y134-W134</x:f>
        <x:v>0</x:v>
      </x:c>
      <x:c r="AB134" s="20" t="n">
        <x:f>Z134-AA134</x:f>
        <x:v>0</x:v>
      </x:c>
    </x:row>
    <x:row r="135" ht="21" customHeight="1">
      <x:c r="A135" s="2" t="str">
        <x:v>Элитный</x:v>
      </x:c>
      <x:c r="B135" s="12" t="n">
        <x:v>2028</x:v>
      </x:c>
      <x:c r="C135" s="12" t="n">
        <x:v>2035</x:v>
      </x:c>
      <x:c r="D135" s="20" t="n">
        <x:f>Z125</x:f>
        <x:v>0</x:v>
      </x:c>
      <x:c r="E135" s="20" t="n">
        <x:f>AA125</x:f>
        <x:v>0</x:v>
      </x:c>
      <x:c r="F135" s="20" t="n">
        <x:f>0</x:f>
        <x:v>0</x:v>
      </x:c>
      <x:c r="G135" s="20" t="n">
        <x:f>D135+F135</x:f>
        <x:v>0</x:v>
      </x:c>
      <x:c r="H135" s="20" t="n">
        <x:f>E135</x:f>
        <x:v>0</x:v>
      </x:c>
      <x:c r="I135" s="20" t="n">
        <x:f>MAX(0,G135-H135)</x:f>
        <x:v>0</x:v>
      </x:c>
      <x:c r="J135" s="39" t="n">
        <x:f>0</x:f>
        <x:v>0</x:v>
      </x:c>
      <x:c r="K135" s="39" t="n">
        <x:f>IF(I135-(0)&gt;0.000000001,J135,0)</x:f>
        <x:v>0</x:v>
      </x:c>
      <x:c r="L135" s="24" t="n">
        <x:f>IF(SUM(K$126:K$135)&gt;0,MIN(MAX(0,I135-(0)),MAX(0,'Расчет'!D73-(0))*K135/SUM(K$126:K$135)),0)</x:f>
        <x:v>0</x:v>
      </x:c>
      <x:c r="M135" s="20" t="n">
        <x:f>IF(I135-(L135)&gt;0.000000001,J135,0)</x:f>
        <x:v>0</x:v>
      </x:c>
      <x:c r="N135" s="24" t="n">
        <x:f>IF(SUM(M$126:M$135)&gt;0,MIN(MAX(0,I135-(L135)),MAX(0,'Расчет'!D73-(SUM(L126:L135)))*M135/SUM(M$126:M$135)),0)</x:f>
        <x:v>0</x:v>
      </x:c>
      <x:c r="O135" s="20" t="n">
        <x:f>IF(I135-(L135+N135)&gt;0.000000001,J135,0)</x:f>
        <x:v>0</x:v>
      </x:c>
      <x:c r="P135" s="24" t="n">
        <x:f>IF(SUM(O$126:O$135)&gt;0,MIN(MAX(0,I135-(L135+N135)),MAX(0,'Расчет'!D73-(SUM(L126:L135)+SUM(N126:N135)))*O135/SUM(O$126:O$135)),0)</x:f>
        <x:v>0</x:v>
      </x:c>
      <x:c r="Q135" s="20" t="n">
        <x:f>IF(I135-(L135+N135+P135)&gt;0.000000001,J135,0)</x:f>
        <x:v>0</x:v>
      </x:c>
      <x:c r="R135" s="24" t="n">
        <x:f>IF(SUM(Q$126:Q$135)&gt;0,MIN(MAX(0,I135-(L135+N135+P135)),MAX(0,'Расчет'!D73-(SUM(L126:L135)+SUM(N126:N135)+SUM(P126:P135)))*Q135/SUM(Q$126:Q$135)),0)</x:f>
        <x:v>0</x:v>
      </x:c>
      <x:c r="S135" s="20" t="n">
        <x:f>IF(I135-(L135+N135+P135+R135)&gt;0.000000001,J135,0)</x:f>
        <x:v>0</x:v>
      </x:c>
      <x:c r="T135" s="24" t="n">
        <x:f>IF(SUM(S$126:S$135)&gt;0,MIN(MAX(0,I135-(L135+N135+P135+R135)),MAX(0,'Расчет'!D73-(SUM(L126:L135)+SUM(N126:N135)+SUM(P126:P135)+SUM(R126:R135)))*S135/SUM(S$126:S$135)),0)</x:f>
        <x:v>0</x:v>
      </x:c>
      <x:c r="U135" s="20" t="n">
        <x:f>SUM(L135,N135,P135,R135,T135)</x:f>
        <x:v>0</x:v>
      </x:c>
      <x:c r="V135" s="20" t="n">
        <x:f>0</x:f>
        <x:v>0</x:v>
      </x:c>
      <x:c r="W135" s="20" t="n">
        <x:f>0</x:f>
        <x:v>0</x:v>
      </x:c>
      <x:c r="X135" s="20" t="n">
        <x:f>G135</x:f>
        <x:v>0</x:v>
      </x:c>
      <x:c r="Y135" s="20" t="n">
        <x:f>H135+U135</x:f>
        <x:v>0</x:v>
      </x:c>
      <x:c r="Z135" s="20" t="n">
        <x:f>G135-V135</x:f>
        <x:v>0</x:v>
      </x:c>
      <x:c r="AA135" s="20" t="n">
        <x:f>Y135-W135</x:f>
        <x:v>0</x:v>
      </x:c>
      <x:c r="AB135" s="20" t="n">
        <x:f>Z135-AA135</x:f>
        <x:v>0</x:v>
      </x:c>
    </x:row>
    <x:row r="136" ht="21" customHeight="1">
      <x:c r="A136" s="2" t="str">
        <x:v>Элитный</x:v>
      </x:c>
      <x:c r="B136" s="12" t="n">
        <x:v>2029</x:v>
      </x:c>
      <x:c r="C136" s="12" t="n">
        <x:v>2026</x:v>
      </x:c>
      <x:c r="D136" s="20" t="n">
        <x:f>0</x:f>
        <x:v>0</x:v>
      </x:c>
      <x:c r="E136" s="20" t="n">
        <x:f>0</x:f>
        <x:v>0</x:v>
      </x:c>
      <x:c r="F136" s="20" t="n">
        <x:f>0</x:f>
        <x:v>0</x:v>
      </x:c>
      <x:c r="G136" s="20" t="n">
        <x:f>D136+F136</x:f>
        <x:v>0</x:v>
      </x:c>
      <x:c r="H136" s="20" t="n">
        <x:f>E136</x:f>
        <x:v>0</x:v>
      </x:c>
      <x:c r="I136" s="20" t="n">
        <x:f>MAX(0,G136-H136)</x:f>
        <x:v>0</x:v>
      </x:c>
      <x:c r="J136" s="39" t="n">
        <x:f>0</x:f>
        <x:v>0</x:v>
      </x:c>
      <x:c r="K136" s="39" t="n">
        <x:f>IF(I136-(0)&gt;0.000000001,J136,0)</x:f>
        <x:v>0</x:v>
      </x:c>
      <x:c r="L136" s="24" t="n">
        <x:f>IF(SUM(K$136:K$145)&gt;0,MIN(MAX(0,I136-(0)),MAX(0,'Расчет'!E73-(0))*K136/SUM(K$136:K$145)),0)</x:f>
        <x:v>0</x:v>
      </x:c>
      <x:c r="M136" s="20" t="n">
        <x:f>IF(I136-(L136)&gt;0.000000001,J136,0)</x:f>
        <x:v>0</x:v>
      </x:c>
      <x:c r="N136" s="24" t="n">
        <x:f>IF(SUM(M$136:M$145)&gt;0,MIN(MAX(0,I136-(L136)),MAX(0,'Расчет'!E73-(SUM(L136:L145)))*M136/SUM(M$136:M$145)),0)</x:f>
        <x:v>0</x:v>
      </x:c>
      <x:c r="O136" s="20" t="n">
        <x:f>IF(I136-(L136+N136)&gt;0.000000001,J136,0)</x:f>
        <x:v>0</x:v>
      </x:c>
      <x:c r="P136" s="24" t="n">
        <x:f>IF(SUM(O$136:O$145)&gt;0,MIN(MAX(0,I136-(L136+N136)),MAX(0,'Расчет'!E73-(SUM(L136:L145)+SUM(N136:N145)))*O136/SUM(O$136:O$145)),0)</x:f>
        <x:v>0</x:v>
      </x:c>
      <x:c r="Q136" s="20" t="n">
        <x:f>IF(I136-(L136+N136+P136)&gt;0.000000001,J136,0)</x:f>
        <x:v>0</x:v>
      </x:c>
      <x:c r="R136" s="24" t="n">
        <x:f>IF(SUM(Q$136:Q$145)&gt;0,MIN(MAX(0,I136-(L136+N136+P136)),MAX(0,'Расчет'!E73-(SUM(L136:L145)+SUM(N136:N145)+SUM(P136:P145)))*Q136/SUM(Q$136:Q$145)),0)</x:f>
        <x:v>0</x:v>
      </x:c>
      <x:c r="S136" s="20" t="n">
        <x:f>IF(I136-(L136+N136+P136+R136)&gt;0.000000001,J136,0)</x:f>
        <x:v>0</x:v>
      </x:c>
      <x:c r="T136" s="24" t="n">
        <x:f>IF(SUM(S$136:S$145)&gt;0,MIN(MAX(0,I136-(L136+N136+P136+R136)),MAX(0,'Расчет'!E73-(SUM(L136:L145)+SUM(N136:N145)+SUM(P136:P145)+SUM(R136:R145)))*S136/SUM(S$136:S$145)),0)</x:f>
        <x:v>0</x:v>
      </x:c>
      <x:c r="U136" s="20" t="n">
        <x:f>SUM(L136,N136,P136,R136,T136)</x:f>
        <x:v>0</x:v>
      </x:c>
      <x:c r="V136" s="20" t="n">
        <x:f>0</x:f>
        <x:v>0</x:v>
      </x:c>
      <x:c r="W136" s="20" t="n">
        <x:f>0</x:f>
        <x:v>0</x:v>
      </x:c>
      <x:c r="X136" s="20" t="n">
        <x:f>G136</x:f>
        <x:v>0</x:v>
      </x:c>
      <x:c r="Y136" s="20" t="n">
        <x:f>H136+U136</x:f>
        <x:v>0</x:v>
      </x:c>
      <x:c r="Z136" s="20" t="n">
        <x:f>G136-V136</x:f>
        <x:v>0</x:v>
      </x:c>
      <x:c r="AA136" s="20" t="n">
        <x:f>Y136-W136</x:f>
        <x:v>0</x:v>
      </x:c>
      <x:c r="AB136" s="20" t="n">
        <x:f>Z136-AA136</x:f>
        <x:v>0</x:v>
      </x:c>
    </x:row>
    <x:row r="137" ht="21" customHeight="1">
      <x:c r="A137" s="2" t="str">
        <x:v>Элитный</x:v>
      </x:c>
      <x:c r="B137" s="12" t="n">
        <x:v>2029</x:v>
      </x:c>
      <x:c r="C137" s="12" t="n">
        <x:v>2027</x:v>
      </x:c>
      <x:c r="D137" s="20" t="n">
        <x:f>0</x:f>
        <x:v>0</x:v>
      </x:c>
      <x:c r="E137" s="20" t="n">
        <x:f>0</x:f>
        <x:v>0</x:v>
      </x:c>
      <x:c r="F137" s="20" t="n">
        <x:f>0</x:f>
        <x:v>0</x:v>
      </x:c>
      <x:c r="G137" s="20" t="n">
        <x:f>D137+F137</x:f>
        <x:v>0</x:v>
      </x:c>
      <x:c r="H137" s="20" t="n">
        <x:f>E137</x:f>
        <x:v>0</x:v>
      </x:c>
      <x:c r="I137" s="20" t="n">
        <x:f>MAX(0,G137-H137)</x:f>
        <x:v>0</x:v>
      </x:c>
      <x:c r="J137" s="39" t="n">
        <x:f>0</x:f>
        <x:v>0</x:v>
      </x:c>
      <x:c r="K137" s="39" t="n">
        <x:f>IF(I137-(0)&gt;0.000000001,J137,0)</x:f>
        <x:v>0</x:v>
      </x:c>
      <x:c r="L137" s="24" t="n">
        <x:f>IF(SUM(K$136:K$145)&gt;0,MIN(MAX(0,I137-(0)),MAX(0,'Расчет'!E73-(0))*K137/SUM(K$136:K$145)),0)</x:f>
        <x:v>0</x:v>
      </x:c>
      <x:c r="M137" s="20" t="n">
        <x:f>IF(I137-(L137)&gt;0.000000001,J137,0)</x:f>
        <x:v>0</x:v>
      </x:c>
      <x:c r="N137" s="24" t="n">
        <x:f>IF(SUM(M$136:M$145)&gt;0,MIN(MAX(0,I137-(L137)),MAX(0,'Расчет'!E73-(SUM(L136:L145)))*M137/SUM(M$136:M$145)),0)</x:f>
        <x:v>0</x:v>
      </x:c>
      <x:c r="O137" s="20" t="n">
        <x:f>IF(I137-(L137+N137)&gt;0.000000001,J137,0)</x:f>
        <x:v>0</x:v>
      </x:c>
      <x:c r="P137" s="24" t="n">
        <x:f>IF(SUM(O$136:O$145)&gt;0,MIN(MAX(0,I137-(L137+N137)),MAX(0,'Расчет'!E73-(SUM(L136:L145)+SUM(N136:N145)))*O137/SUM(O$136:O$145)),0)</x:f>
        <x:v>0</x:v>
      </x:c>
      <x:c r="Q137" s="20" t="n">
        <x:f>IF(I137-(L137+N137+P137)&gt;0.000000001,J137,0)</x:f>
        <x:v>0</x:v>
      </x:c>
      <x:c r="R137" s="24" t="n">
        <x:f>IF(SUM(Q$136:Q$145)&gt;0,MIN(MAX(0,I137-(L137+N137+P137)),MAX(0,'Расчет'!E73-(SUM(L136:L145)+SUM(N136:N145)+SUM(P136:P145)))*Q137/SUM(Q$136:Q$145)),0)</x:f>
        <x:v>0</x:v>
      </x:c>
      <x:c r="S137" s="20" t="n">
        <x:f>IF(I137-(L137+N137+P137+R137)&gt;0.000000001,J137,0)</x:f>
        <x:v>0</x:v>
      </x:c>
      <x:c r="T137" s="24" t="n">
        <x:f>IF(SUM(S$136:S$145)&gt;0,MIN(MAX(0,I137-(L137+N137+P137+R137)),MAX(0,'Расчет'!E73-(SUM(L136:L145)+SUM(N136:N145)+SUM(P136:P145)+SUM(R136:R145)))*S137/SUM(S$136:S$145)),0)</x:f>
        <x:v>0</x:v>
      </x:c>
      <x:c r="U137" s="20" t="n">
        <x:f>SUM(L137,N137,P137,R137,T137)</x:f>
        <x:v>0</x:v>
      </x:c>
      <x:c r="V137" s="20" t="n">
        <x:f>0</x:f>
        <x:v>0</x:v>
      </x:c>
      <x:c r="W137" s="20" t="n">
        <x:f>0</x:f>
        <x:v>0</x:v>
      </x:c>
      <x:c r="X137" s="20" t="n">
        <x:f>G137</x:f>
        <x:v>0</x:v>
      </x:c>
      <x:c r="Y137" s="20" t="n">
        <x:f>H137+U137</x:f>
        <x:v>0</x:v>
      </x:c>
      <x:c r="Z137" s="20" t="n">
        <x:f>G137-V137</x:f>
        <x:v>0</x:v>
      </x:c>
      <x:c r="AA137" s="20" t="n">
        <x:f>Y137-W137</x:f>
        <x:v>0</x:v>
      </x:c>
      <x:c r="AB137" s="20" t="n">
        <x:f>Z137-AA137</x:f>
        <x:v>0</x:v>
      </x:c>
    </x:row>
    <x:row r="138" ht="21" customHeight="1">
      <x:c r="A138" s="2" t="str">
        <x:v>Элитный</x:v>
      </x:c>
      <x:c r="B138" s="12" t="n">
        <x:v>2029</x:v>
      </x:c>
      <x:c r="C138" s="12" t="n">
        <x:v>2028</x:v>
      </x:c>
      <x:c r="D138" s="20" t="n">
        <x:f>0</x:f>
        <x:v>0</x:v>
      </x:c>
      <x:c r="E138" s="20" t="n">
        <x:f>0</x:f>
        <x:v>0</x:v>
      </x:c>
      <x:c r="F138" s="20" t="n">
        <x:f>0</x:f>
        <x:v>0</x:v>
      </x:c>
      <x:c r="G138" s="20" t="n">
        <x:f>D138+F138</x:f>
        <x:v>0</x:v>
      </x:c>
      <x:c r="H138" s="20" t="n">
        <x:f>E138</x:f>
        <x:v>0</x:v>
      </x:c>
      <x:c r="I138" s="20" t="n">
        <x:f>MAX(0,G138-H138)</x:f>
        <x:v>0</x:v>
      </x:c>
      <x:c r="J138" s="39" t="n">
        <x:f>0</x:f>
        <x:v>0</x:v>
      </x:c>
      <x:c r="K138" s="39" t="n">
        <x:f>IF(I138-(0)&gt;0.000000001,J138,0)</x:f>
        <x:v>0</x:v>
      </x:c>
      <x:c r="L138" s="24" t="n">
        <x:f>IF(SUM(K$136:K$145)&gt;0,MIN(MAX(0,I138-(0)),MAX(0,'Расчет'!E73-(0))*K138/SUM(K$136:K$145)),0)</x:f>
        <x:v>0</x:v>
      </x:c>
      <x:c r="M138" s="20" t="n">
        <x:f>IF(I138-(L138)&gt;0.000000001,J138,0)</x:f>
        <x:v>0</x:v>
      </x:c>
      <x:c r="N138" s="24" t="n">
        <x:f>IF(SUM(M$136:M$145)&gt;0,MIN(MAX(0,I138-(L138)),MAX(0,'Расчет'!E73-(SUM(L136:L145)))*M138/SUM(M$136:M$145)),0)</x:f>
        <x:v>0</x:v>
      </x:c>
      <x:c r="O138" s="20" t="n">
        <x:f>IF(I138-(L138+N138)&gt;0.000000001,J138,0)</x:f>
        <x:v>0</x:v>
      </x:c>
      <x:c r="P138" s="24" t="n">
        <x:f>IF(SUM(O$136:O$145)&gt;0,MIN(MAX(0,I138-(L138+N138)),MAX(0,'Расчет'!E73-(SUM(L136:L145)+SUM(N136:N145)))*O138/SUM(O$136:O$145)),0)</x:f>
        <x:v>0</x:v>
      </x:c>
      <x:c r="Q138" s="20" t="n">
        <x:f>IF(I138-(L138+N138+P138)&gt;0.000000001,J138,0)</x:f>
        <x:v>0</x:v>
      </x:c>
      <x:c r="R138" s="24" t="n">
        <x:f>IF(SUM(Q$136:Q$145)&gt;0,MIN(MAX(0,I138-(L138+N138+P138)),MAX(0,'Расчет'!E73-(SUM(L136:L145)+SUM(N136:N145)+SUM(P136:P145)))*Q138/SUM(Q$136:Q$145)),0)</x:f>
        <x:v>0</x:v>
      </x:c>
      <x:c r="S138" s="20" t="n">
        <x:f>IF(I138-(L138+N138+P138+R138)&gt;0.000000001,J138,0)</x:f>
        <x:v>0</x:v>
      </x:c>
      <x:c r="T138" s="24" t="n">
        <x:f>IF(SUM(S$136:S$145)&gt;0,MIN(MAX(0,I138-(L138+N138+P138+R138)),MAX(0,'Расчет'!E73-(SUM(L136:L145)+SUM(N136:N145)+SUM(P136:P145)+SUM(R136:R145)))*S138/SUM(S$136:S$145)),0)</x:f>
        <x:v>0</x:v>
      </x:c>
      <x:c r="U138" s="20" t="n">
        <x:f>SUM(L138,N138,P138,R138,T138)</x:f>
        <x:v>0</x:v>
      </x:c>
      <x:c r="V138" s="20" t="n">
        <x:f>0</x:f>
        <x:v>0</x:v>
      </x:c>
      <x:c r="W138" s="20" t="n">
        <x:f>0</x:f>
        <x:v>0</x:v>
      </x:c>
      <x:c r="X138" s="20" t="n">
        <x:f>G138</x:f>
        <x:v>0</x:v>
      </x:c>
      <x:c r="Y138" s="20" t="n">
        <x:f>H138+U138</x:f>
        <x:v>0</x:v>
      </x:c>
      <x:c r="Z138" s="20" t="n">
        <x:f>G138-V138</x:f>
        <x:v>0</x:v>
      </x:c>
      <x:c r="AA138" s="20" t="n">
        <x:f>Y138-W138</x:f>
        <x:v>0</x:v>
      </x:c>
      <x:c r="AB138" s="20" t="n">
        <x:f>Z138-AA138</x:f>
        <x:v>0</x:v>
      </x:c>
    </x:row>
    <x:row r="139" ht="21" customHeight="1">
      <x:c r="A139" s="2" t="str">
        <x:v>Элитный</x:v>
      </x:c>
      <x:c r="B139" s="12" t="n">
        <x:v>2029</x:v>
      </x:c>
      <x:c r="C139" s="12" t="n">
        <x:v>2029</x:v>
      </x:c>
      <x:c r="D139" s="20" t="n">
        <x:f>Z129+Z128</x:f>
        <x:v>920.9111625982297</x:v>
      </x:c>
      <x:c r="E139" s="20" t="n">
        <x:f>AA129+AA128</x:f>
        <x:v>588.9756219450411</x:v>
      </x:c>
      <x:c r="F139" s="24" t="n">
        <x:f>'Расчет'!E64*'Допущения'!B26</x:f>
        <x:v>0</x:v>
      </x:c>
      <x:c r="G139" s="20" t="n">
        <x:f>D139+F139</x:f>
        <x:v>920.9111625982297</x:v>
      </x:c>
      <x:c r="H139" s="20" t="n">
        <x:f>E139</x:f>
        <x:v>588.9756219450411</x:v>
      </x:c>
      <x:c r="I139" s="20" t="n">
        <x:f>MAX(0,G139-H139)</x:f>
        <x:v>331.9355406531886</x:v>
      </x:c>
      <x:c r="J139" s="38" t="n">
        <x:f>'Допущения'!B30</x:f>
        <x:v>0.1357</x:v>
      </x:c>
      <x:c r="K139" s="39" t="n">
        <x:f>IF(I139-(0)&gt;0.000000001,J139,0)</x:f>
        <x:v>0.1357</x:v>
      </x:c>
      <x:c r="L139" s="24" t="n">
        <x:f>IF(SUM(K$136:K$145)&gt;0,MIN(MAX(0,I139-(0)),MAX(0,'Расчет'!E73-(0))*K139/SUM(K$136:K$145)),0)</x:f>
        <x:v>123.23283267708017</x:v>
      </x:c>
      <x:c r="M139" s="20" t="n">
        <x:f>IF(I139-(L139)&gt;0.000000001,J139,0)</x:f>
        <x:v>0.1357</x:v>
      </x:c>
      <x:c r="N139" s="24" t="n">
        <x:f>IF(SUM(M$136:M$145)&gt;0,MIN(MAX(0,I139-(L139)),MAX(0,'Расчет'!E73-(SUM(L136:L145)))*M139/SUM(M$136:M$145)),0)</x:f>
        <x:v>0</x:v>
      </x:c>
      <x:c r="O139" s="20" t="n">
        <x:f>IF(I139-(L139+N139)&gt;0.000000001,J139,0)</x:f>
        <x:v>0.1357</x:v>
      </x:c>
      <x:c r="P139" s="24" t="n">
        <x:f>IF(SUM(O$136:O$145)&gt;0,MIN(MAX(0,I139-(L139+N139)),MAX(0,'Расчет'!E73-(SUM(L136:L145)+SUM(N136:N145)))*O139/SUM(O$136:O$145)),0)</x:f>
        <x:v>0</x:v>
      </x:c>
      <x:c r="Q139" s="20" t="n">
        <x:f>IF(I139-(L139+N139+P139)&gt;0.000000001,J139,0)</x:f>
        <x:v>0.1357</x:v>
      </x:c>
      <x:c r="R139" s="24" t="n">
        <x:f>IF(SUM(Q$136:Q$145)&gt;0,MIN(MAX(0,I139-(L139+N139+P139)),MAX(0,'Расчет'!E73-(SUM(L136:L145)+SUM(N136:N145)+SUM(P136:P145)))*Q139/SUM(Q$136:Q$145)),0)</x:f>
        <x:v>0</x:v>
      </x:c>
      <x:c r="S139" s="20" t="n">
        <x:f>IF(I139-(L139+N139+P139+R139)&gt;0.000000001,J139,0)</x:f>
        <x:v>0.1357</x:v>
      </x:c>
      <x:c r="T139" s="24" t="n">
        <x:f>IF(SUM(S$136:S$145)&gt;0,MIN(MAX(0,I139-(L139+N139+P139+R139)),MAX(0,'Расчет'!E73-(SUM(L136:L145)+SUM(N136:N145)+SUM(P136:P145)+SUM(R136:R145)))*S139/SUM(S$136:S$145)),0)</x:f>
        <x:v>0</x:v>
      </x:c>
      <x:c r="U139" s="20" t="n">
        <x:f>SUM(L139,N139,P139,R139,T139)</x:f>
        <x:v>123.23283267708017</x:v>
      </x:c>
      <x:c r="V139" s="24" t="n">
        <x:f>G139*(1-'Допущения'!E7)</x:f>
        <x:v>874.8656044683181</x:v>
      </x:c>
      <x:c r="W139" s="24" t="n">
        <x:f>Y139*(1-'Допущения'!E7)</x:f>
        <x:v>676.5980318910152</x:v>
      </x:c>
      <x:c r="X139" s="20" t="n">
        <x:f>G139</x:f>
        <x:v>920.9111625982297</x:v>
      </x:c>
      <x:c r="Y139" s="20" t="n">
        <x:f>H139+U139</x:f>
        <x:v>712.2084546221213</x:v>
      </x:c>
      <x:c r="Z139" s="20" t="n">
        <x:f>G139-V139</x:f>
        <x:v>46.04555812991157</x:v>
      </x:c>
      <x:c r="AA139" s="20" t="n">
        <x:f>Y139-W139</x:f>
        <x:v>35.61042273110604</x:v>
      </x:c>
      <x:c r="AB139" s="20" t="n">
        <x:f>Z139-AA139</x:f>
        <x:v>10.435135398805528</x:v>
      </x:c>
    </x:row>
    <x:row r="140" ht="21" customHeight="1">
      <x:c r="A140" s="2" t="str">
        <x:v>Элитный</x:v>
      </x:c>
      <x:c r="B140" s="12" t="n">
        <x:v>2029</x:v>
      </x:c>
      <x:c r="C140" s="12" t="n">
        <x:v>2030</x:v>
      </x:c>
      <x:c r="D140" s="20" t="n">
        <x:f>Z130</x:f>
        <x:v>758.5002986021321</x:v>
      </x:c>
      <x:c r="E140" s="20" t="n">
        <x:f>AA130</x:f>
        <x:v>342.6759697191676</x:v>
      </x:c>
      <x:c r="F140" s="24" t="n">
        <x:f>'Расчет'!E64*'Допущения'!C26</x:f>
        <x:v>0.6711512810232619</x:v>
      </x:c>
      <x:c r="G140" s="20" t="n">
        <x:f>D140+F140</x:f>
        <x:v>759.1714498831554</x:v>
      </x:c>
      <x:c r="H140" s="20" t="n">
        <x:f>E140</x:f>
        <x:v>342.6759697191676</x:v>
      </x:c>
      <x:c r="I140" s="20" t="n">
        <x:f>MAX(0,G140-H140)</x:f>
        <x:v>416.49548016398785</x:v>
      </x:c>
      <x:c r="J140" s="38" t="n">
        <x:f>'Допущения'!C30</x:f>
        <x:v>0.3612</x:v>
      </x:c>
      <x:c r="K140" s="39" t="n">
        <x:f>IF(I140-(0)&gt;0.000000001,J140,0)</x:f>
        <x:v>0.3612</x:v>
      </x:c>
      <x:c r="L140" s="24" t="n">
        <x:f>IF(SUM(K$136:K$145)&gt;0,MIN(MAX(0,I140-(0)),MAX(0,'Расчет'!E73-(0))*K140/SUM(K$136:K$145)),0)</x:f>
        <x:v>328.01546914488847</x:v>
      </x:c>
      <x:c r="M140" s="20" t="n">
        <x:f>IF(I140-(L140)&gt;0.000000001,J140,0)</x:f>
        <x:v>0.3612</x:v>
      </x:c>
      <x:c r="N140" s="24" t="n">
        <x:f>IF(SUM(M$136:M$145)&gt;0,MIN(MAX(0,I140-(L140)),MAX(0,'Расчет'!E73-(SUM(L136:L145)))*M140/SUM(M$136:M$145)),0)</x:f>
        <x:v>0</x:v>
      </x:c>
      <x:c r="O140" s="20" t="n">
        <x:f>IF(I140-(L140+N140)&gt;0.000000001,J140,0)</x:f>
        <x:v>0.3612</x:v>
      </x:c>
      <x:c r="P140" s="24" t="n">
        <x:f>IF(SUM(O$136:O$145)&gt;0,MIN(MAX(0,I140-(L140+N140)),MAX(0,'Расчет'!E73-(SUM(L136:L145)+SUM(N136:N145)))*O140/SUM(O$136:O$145)),0)</x:f>
        <x:v>0</x:v>
      </x:c>
      <x:c r="Q140" s="20" t="n">
        <x:f>IF(I140-(L140+N140+P140)&gt;0.000000001,J140,0)</x:f>
        <x:v>0.3612</x:v>
      </x:c>
      <x:c r="R140" s="24" t="n">
        <x:f>IF(SUM(Q$136:Q$145)&gt;0,MIN(MAX(0,I140-(L140+N140+P140)),MAX(0,'Расчет'!E73-(SUM(L136:L145)+SUM(N136:N145)+SUM(P136:P145)))*Q140/SUM(Q$136:Q$145)),0)</x:f>
        <x:v>0</x:v>
      </x:c>
      <x:c r="S140" s="20" t="n">
        <x:f>IF(I140-(L140+N140+P140+R140)&gt;0.000000001,J140,0)</x:f>
        <x:v>0.3612</x:v>
      </x:c>
      <x:c r="T140" s="24" t="n">
        <x:f>IF(SUM(S$136:S$145)&gt;0,MIN(MAX(0,I140-(L140+N140+P140+R140)),MAX(0,'Расчет'!E73-(SUM(L136:L145)+SUM(N136:N145)+SUM(P136:P145)+SUM(R136:R145)))*S140/SUM(S$136:S$145)),0)</x:f>
        <x:v>0</x:v>
      </x:c>
      <x:c r="U140" s="20" t="n">
        <x:f>SUM(L140,N140,P140,R140,T140)</x:f>
        <x:v>328.01546914488847</x:v>
      </x:c>
      <x:c r="V140" s="20" t="n">
        <x:f>0</x:f>
        <x:v>0</x:v>
      </x:c>
      <x:c r="W140" s="20" t="n">
        <x:f>0</x:f>
        <x:v>0</x:v>
      </x:c>
      <x:c r="X140" s="20" t="n">
        <x:f>G140</x:f>
        <x:v>759.1714498831554</x:v>
      </x:c>
      <x:c r="Y140" s="20" t="n">
        <x:f>H140+U140</x:f>
        <x:v>670.6914388640561</x:v>
      </x:c>
      <x:c r="Z140" s="20" t="n">
        <x:f>G140-V140</x:f>
        <x:v>759.1714498831554</x:v>
      </x:c>
      <x:c r="AA140" s="20" t="n">
        <x:f>Y140-W140</x:f>
        <x:v>670.6914388640561</x:v>
      </x:c>
      <x:c r="AB140" s="20" t="n">
        <x:f>Z140-AA140</x:f>
        <x:v>88.48001101909938</x:v>
      </x:c>
    </x:row>
    <x:row r="141" ht="21" customHeight="1">
      <x:c r="A141" s="2" t="str">
        <x:v>Элитный</x:v>
      </x:c>
      <x:c r="B141" s="12" t="n">
        <x:v>2029</x:v>
      </x:c>
      <x:c r="C141" s="12" t="n">
        <x:v>2031</x:v>
      </x:c>
      <x:c r="D141" s="20" t="n">
        <x:f>Z131</x:f>
        <x:v>836.8063604020622</x:v>
      </x:c>
      <x:c r="E141" s="20" t="n">
        <x:f>AA131</x:f>
        <x:v>134.05751134267655</x:v>
      </x:c>
      <x:c r="F141" s="24" t="n">
        <x:f>'Расчет'!E64*'Допущения'!D26</x:f>
        <x:v>29.85749143071253</x:v>
      </x:c>
      <x:c r="G141" s="20" t="n">
        <x:f>D141+F141</x:f>
        <x:v>866.6638518327748</x:v>
      </x:c>
      <x:c r="H141" s="20" t="n">
        <x:f>E141</x:f>
        <x:v>134.05751134267655</x:v>
      </x:c>
      <x:c r="I141" s="20" t="n">
        <x:f>MAX(0,G141-H141)</x:f>
        <x:v>732.6063404900982</x:v>
      </x:c>
      <x:c r="J141" s="38" t="n">
        <x:f>'Допущения'!D30</x:f>
        <x:v>0.3111</x:v>
      </x:c>
      <x:c r="K141" s="39" t="n">
        <x:f>IF(I141-(0)&gt;0.000000001,J141,0)</x:f>
        <x:v>0.3111</x:v>
      </x:c>
      <x:c r="L141" s="24" t="n">
        <x:f>IF(SUM(K$136:K$145)&gt;0,MIN(MAX(0,I141-(0)),MAX(0,'Расчет'!E73-(0))*K141/SUM(K$136:K$145)),0)</x:f>
        <x:v>282.51830689638643</x:v>
      </x:c>
      <x:c r="M141" s="20" t="n">
        <x:f>IF(I141-(L141)&gt;0.000000001,J141,0)</x:f>
        <x:v>0.3111</x:v>
      </x:c>
      <x:c r="N141" s="24" t="n">
        <x:f>IF(SUM(M$136:M$145)&gt;0,MIN(MAX(0,I141-(L141)),MAX(0,'Расчет'!E73-(SUM(L136:L145)))*M141/SUM(M$136:M$145)),0)</x:f>
        <x:v>0</x:v>
      </x:c>
      <x:c r="O141" s="20" t="n">
        <x:f>IF(I141-(L141+N141)&gt;0.000000001,J141,0)</x:f>
        <x:v>0.3111</x:v>
      </x:c>
      <x:c r="P141" s="24" t="n">
        <x:f>IF(SUM(O$136:O$145)&gt;0,MIN(MAX(0,I141-(L141+N141)),MAX(0,'Расчет'!E73-(SUM(L136:L145)+SUM(N136:N145)))*O141/SUM(O$136:O$145)),0)</x:f>
        <x:v>0</x:v>
      </x:c>
      <x:c r="Q141" s="20" t="n">
        <x:f>IF(I141-(L141+N141+P141)&gt;0.000000001,J141,0)</x:f>
        <x:v>0.3111</x:v>
      </x:c>
      <x:c r="R141" s="24" t="n">
        <x:f>IF(SUM(Q$136:Q$145)&gt;0,MIN(MAX(0,I141-(L141+N141+P141)),MAX(0,'Расчет'!E73-(SUM(L136:L145)+SUM(N136:N145)+SUM(P136:P145)))*Q141/SUM(Q$136:Q$145)),0)</x:f>
        <x:v>0</x:v>
      </x:c>
      <x:c r="S141" s="20" t="n">
        <x:f>IF(I141-(L141+N141+P141+R141)&gt;0.000000001,J141,0)</x:f>
        <x:v>0.3111</x:v>
      </x:c>
      <x:c r="T141" s="24" t="n">
        <x:f>IF(SUM(S$136:S$145)&gt;0,MIN(MAX(0,I141-(L141+N141+P141+R141)),MAX(0,'Расчет'!E73-(SUM(L136:L145)+SUM(N136:N145)+SUM(P136:P145)+SUM(R136:R145)))*S141/SUM(S$136:S$145)),0)</x:f>
        <x:v>0</x:v>
      </x:c>
      <x:c r="U141" s="20" t="n">
        <x:f>SUM(L141,N141,P141,R141,T141)</x:f>
        <x:v>282.51830689638643</x:v>
      </x:c>
      <x:c r="V141" s="20" t="n">
        <x:f>0</x:f>
        <x:v>0</x:v>
      </x:c>
      <x:c r="W141" s="20" t="n">
        <x:f>0</x:f>
        <x:v>0</x:v>
      </x:c>
      <x:c r="X141" s="20" t="n">
        <x:f>G141</x:f>
        <x:v>866.6638518327748</x:v>
      </x:c>
      <x:c r="Y141" s="20" t="n">
        <x:f>H141+U141</x:f>
        <x:v>416.575818239063</x:v>
      </x:c>
      <x:c r="Z141" s="20" t="n">
        <x:f>G141-V141</x:f>
        <x:v>866.6638518327748</x:v>
      </x:c>
      <x:c r="AA141" s="20" t="n">
        <x:f>Y141-W141</x:f>
        <x:v>416.575818239063</x:v>
      </x:c>
      <x:c r="AB141" s="20" t="n">
        <x:f>Z141-AA141</x:f>
        <x:v>450.08803359371177</x:v>
      </x:c>
    </x:row>
    <x:row r="142" ht="21" customHeight="1">
      <x:c r="A142" s="2" t="str">
        <x:v>Элитный</x:v>
      </x:c>
      <x:c r="B142" s="12" t="n">
        <x:v>2029</x:v>
      </x:c>
      <x:c r="C142" s="12" t="n">
        <x:v>2032</x:v>
      </x:c>
      <x:c r="D142" s="20" t="n">
        <x:f>Z132</x:f>
        <x:v>495.72550667126706</x:v>
      </x:c>
      <x:c r="E142" s="20" t="n">
        <x:f>AA132</x:f>
        <x:v>30.674674144202246</x:v>
      </x:c>
      <x:c r="F142" s="24" t="n">
        <x:f>'Расчет'!E64*'Допущения'!E26</x:f>
        <x:v>468.619196453726</x:v>
      </x:c>
      <x:c r="G142" s="20" t="n">
        <x:f>D142+F142</x:f>
        <x:v>964.344703124993</x:v>
      </x:c>
      <x:c r="H142" s="20" t="n">
        <x:f>E142</x:f>
        <x:v>30.674674144202246</x:v>
      </x:c>
      <x:c r="I142" s="20" t="n">
        <x:f>MAX(0,G142-H142)</x:f>
        <x:v>933.6700289807907</x:v>
      </x:c>
      <x:c r="J142" s="38" t="n">
        <x:f>'Допущения'!E30</x:f>
        <x:v>0.1495</x:v>
      </x:c>
      <x:c r="K142" s="39" t="n">
        <x:f>IF(I142-(0)&gt;0.000000001,J142,0)</x:f>
        <x:v>0.1495</x:v>
      </x:c>
      <x:c r="L142" s="24" t="n">
        <x:f>IF(SUM(K$136:K$145)&gt;0,MIN(MAX(0,I142-(0)),MAX(0,'Расчет'!E73-(0))*K142/SUM(K$136:K$145)),0)</x:f>
        <x:v>135.76498515271544</x:v>
      </x:c>
      <x:c r="M142" s="20" t="n">
        <x:f>IF(I142-(L142)&gt;0.000000001,J142,0)</x:f>
        <x:v>0.1495</x:v>
      </x:c>
      <x:c r="N142" s="24" t="n">
        <x:f>IF(SUM(M$136:M$145)&gt;0,MIN(MAX(0,I142-(L142)),MAX(0,'Расчет'!E73-(SUM(L136:L145)))*M142/SUM(M$136:M$145)),0)</x:f>
        <x:v>0</x:v>
      </x:c>
      <x:c r="O142" s="20" t="n">
        <x:f>IF(I142-(L142+N142)&gt;0.000000001,J142,0)</x:f>
        <x:v>0.1495</x:v>
      </x:c>
      <x:c r="P142" s="24" t="n">
        <x:f>IF(SUM(O$136:O$145)&gt;0,MIN(MAX(0,I142-(L142+N142)),MAX(0,'Расчет'!E73-(SUM(L136:L145)+SUM(N136:N145)))*O142/SUM(O$136:O$145)),0)</x:f>
        <x:v>0</x:v>
      </x:c>
      <x:c r="Q142" s="20" t="n">
        <x:f>IF(I142-(L142+N142+P142)&gt;0.000000001,J142,0)</x:f>
        <x:v>0.1495</x:v>
      </x:c>
      <x:c r="R142" s="24" t="n">
        <x:f>IF(SUM(Q$136:Q$145)&gt;0,MIN(MAX(0,I142-(L142+N142+P142)),MAX(0,'Расчет'!E73-(SUM(L136:L145)+SUM(N136:N145)+SUM(P136:P145)))*Q142/SUM(Q$136:Q$145)),0)</x:f>
        <x:v>0</x:v>
      </x:c>
      <x:c r="S142" s="20" t="n">
        <x:f>IF(I142-(L142+N142+P142+R142)&gt;0.000000001,J142,0)</x:f>
        <x:v>0.1495</x:v>
      </x:c>
      <x:c r="T142" s="24" t="n">
        <x:f>IF(SUM(S$136:S$145)&gt;0,MIN(MAX(0,I142-(L142+N142+P142+R142)),MAX(0,'Расчет'!E73-(SUM(L136:L145)+SUM(N136:N145)+SUM(P136:P145)+SUM(R136:R145)))*S142/SUM(S$136:S$145)),0)</x:f>
        <x:v>0</x:v>
      </x:c>
      <x:c r="U142" s="20" t="n">
        <x:f>SUM(L142,N142,P142,R142,T142)</x:f>
        <x:v>135.76498515271544</x:v>
      </x:c>
      <x:c r="V142" s="20" t="n">
        <x:f>0</x:f>
        <x:v>0</x:v>
      </x:c>
      <x:c r="W142" s="20" t="n">
        <x:f>0</x:f>
        <x:v>0</x:v>
      </x:c>
      <x:c r="X142" s="20" t="n">
        <x:f>G142</x:f>
        <x:v>964.344703124993</x:v>
      </x:c>
      <x:c r="Y142" s="20" t="n">
        <x:f>H142+U142</x:f>
        <x:v>166.43965929691768</x:v>
      </x:c>
      <x:c r="Z142" s="20" t="n">
        <x:f>G142-V142</x:f>
        <x:v>964.344703124993</x:v>
      </x:c>
      <x:c r="AA142" s="20" t="n">
        <x:f>Y142-W142</x:f>
        <x:v>166.43965929691768</x:v>
      </x:c>
      <x:c r="AB142" s="20" t="n">
        <x:f>Z142-AA142</x:f>
        <x:v>797.9050438280753</x:v>
      </x:c>
    </x:row>
    <x:row r="143" ht="21" customHeight="1">
      <x:c r="A143" s="2" t="str">
        <x:v>Элитный</x:v>
      </x:c>
      <x:c r="B143" s="12" t="n">
        <x:v>2029</x:v>
      </x:c>
      <x:c r="C143" s="12" t="n">
        <x:v>2033</x:v>
      </x:c>
      <x:c r="D143" s="20" t="n">
        <x:f>Z133</x:f>
        <x:v>224.9671693357106</x:v>
      </x:c>
      <x:c r="E143" s="20" t="n">
        <x:f>AA133</x:f>
        <x:v>0</x:v>
      </x:c>
      <x:c r="F143" s="24" t="n">
        <x:f>'Расчет'!E64*'Допущения'!F26</x:f>
        <x:v>317.86891937353437</x:v>
      </x:c>
      <x:c r="G143" s="20" t="n">
        <x:f>D143+F143</x:f>
        <x:v>542.8360887092449</x:v>
      </x:c>
      <x:c r="H143" s="20" t="n">
        <x:f>E143</x:f>
        <x:v>0</x:v>
      </x:c>
      <x:c r="I143" s="20" t="n">
        <x:f>MAX(0,G143-H143)</x:f>
        <x:v>542.8360887092449</x:v>
      </x:c>
      <x:c r="J143" s="38" t="n">
        <x:f>'Допущения'!F30</x:f>
        <x:v>0.0425</x:v>
      </x:c>
      <x:c r="K143" s="39" t="n">
        <x:f>IF(I143-(0)&gt;0.000000001,J143,0)</x:f>
        <x:v>0.0425</x:v>
      </x:c>
      <x:c r="L143" s="24" t="n">
        <x:f>IF(SUM(K$136:K$145)&gt;0,MIN(MAX(0,I143-(0)),MAX(0,'Расчет'!E73-(0))*K143/SUM(K$136:K$145)),0)</x:f>
        <x:v>38.595397116992686</x:v>
      </x:c>
      <x:c r="M143" s="20" t="n">
        <x:f>IF(I143-(L143)&gt;0.000000001,J143,0)</x:f>
        <x:v>0.0425</x:v>
      </x:c>
      <x:c r="N143" s="24" t="n">
        <x:f>IF(SUM(M$136:M$145)&gt;0,MIN(MAX(0,I143-(L143)),MAX(0,'Расчет'!E73-(SUM(L136:L145)))*M143/SUM(M$136:M$145)),0)</x:f>
        <x:v>0</x:v>
      </x:c>
      <x:c r="O143" s="20" t="n">
        <x:f>IF(I143-(L143+N143)&gt;0.000000001,J143,0)</x:f>
        <x:v>0.0425</x:v>
      </x:c>
      <x:c r="P143" s="24" t="n">
        <x:f>IF(SUM(O$136:O$145)&gt;0,MIN(MAX(0,I143-(L143+N143)),MAX(0,'Расчет'!E73-(SUM(L136:L145)+SUM(N136:N145)))*O143/SUM(O$136:O$145)),0)</x:f>
        <x:v>0</x:v>
      </x:c>
      <x:c r="Q143" s="20" t="n">
        <x:f>IF(I143-(L143+N143+P143)&gt;0.000000001,J143,0)</x:f>
        <x:v>0.0425</x:v>
      </x:c>
      <x:c r="R143" s="24" t="n">
        <x:f>IF(SUM(Q$136:Q$145)&gt;0,MIN(MAX(0,I143-(L143+N143+P143)),MAX(0,'Расчет'!E73-(SUM(L136:L145)+SUM(N136:N145)+SUM(P136:P145)))*Q143/SUM(Q$136:Q$145)),0)</x:f>
        <x:v>0</x:v>
      </x:c>
      <x:c r="S143" s="20" t="n">
        <x:f>IF(I143-(L143+N143+P143+R143)&gt;0.000000001,J143,0)</x:f>
        <x:v>0.0425</x:v>
      </x:c>
      <x:c r="T143" s="24" t="n">
        <x:f>IF(SUM(S$136:S$145)&gt;0,MIN(MAX(0,I143-(L143+N143+P143+R143)),MAX(0,'Расчет'!E73-(SUM(L136:L145)+SUM(N136:N145)+SUM(P136:P145)+SUM(R136:R145)))*S143/SUM(S$136:S$145)),0)</x:f>
        <x:v>0</x:v>
      </x:c>
      <x:c r="U143" s="20" t="n">
        <x:f>SUM(L143,N143,P143,R143,T143)</x:f>
        <x:v>38.595397116992686</x:v>
      </x:c>
      <x:c r="V143" s="20" t="n">
        <x:f>0</x:f>
        <x:v>0</x:v>
      </x:c>
      <x:c r="W143" s="20" t="n">
        <x:f>0</x:f>
        <x:v>0</x:v>
      </x:c>
      <x:c r="X143" s="20" t="n">
        <x:f>G143</x:f>
        <x:v>542.8360887092449</x:v>
      </x:c>
      <x:c r="Y143" s="20" t="n">
        <x:f>H143+U143</x:f>
        <x:v>38.595397116992686</x:v>
      </x:c>
      <x:c r="Z143" s="20" t="n">
        <x:f>G143-V143</x:f>
        <x:v>542.8360887092449</x:v>
      </x:c>
      <x:c r="AA143" s="20" t="n">
        <x:f>Y143-W143</x:f>
        <x:v>38.595397116992686</x:v>
      </x:c>
      <x:c r="AB143" s="20" t="n">
        <x:f>Z143-AA143</x:f>
        <x:v>504.24069159225223</x:v>
      </x:c>
    </x:row>
    <x:row r="144" ht="21" customHeight="1">
      <x:c r="A144" s="2" t="str">
        <x:v>Элитный</x:v>
      </x:c>
      <x:c r="B144" s="12" t="n">
        <x:v>2029</x:v>
      </x:c>
      <x:c r="C144" s="12" t="n">
        <x:v>2034</x:v>
      </x:c>
      <x:c r="D144" s="20" t="n">
        <x:f>Z134</x:f>
        <x:v>0</x:v>
      </x:c>
      <x:c r="E144" s="20" t="n">
        <x:f>AA134</x:f>
        <x:v>0</x:v>
      </x:c>
      <x:c r="F144" s="24" t="n">
        <x:f>'Расчет'!E64*'Допущения'!G26</x:f>
        <x:v>241.35592299217947</x:v>
      </x:c>
      <x:c r="G144" s="20" t="n">
        <x:f>D144+F144</x:f>
        <x:v>241.35592299217947</x:v>
      </x:c>
      <x:c r="H144" s="20" t="n">
        <x:f>E144</x:f>
        <x:v>0</x:v>
      </x:c>
      <x:c r="I144" s="20" t="n">
        <x:f>MAX(0,G144-H144)</x:f>
        <x:v>241.35592299217947</x:v>
      </x:c>
      <x:c r="J144" s="39" t="n">
        <x:f>0</x:f>
        <x:v>0</x:v>
      </x:c>
      <x:c r="K144" s="39" t="n">
        <x:f>IF(I144-(0)&gt;0.000000001,J144,0)</x:f>
        <x:v>0</x:v>
      </x:c>
      <x:c r="L144" s="24" t="n">
        <x:f>IF(SUM(K$136:K$145)&gt;0,MIN(MAX(0,I144-(0)),MAX(0,'Расчет'!E73-(0))*K144/SUM(K$136:K$145)),0)</x:f>
        <x:v>0</x:v>
      </x:c>
      <x:c r="M144" s="20" t="n">
        <x:f>IF(I144-(L144)&gt;0.000000001,J144,0)</x:f>
        <x:v>0</x:v>
      </x:c>
      <x:c r="N144" s="24" t="n">
        <x:f>IF(SUM(M$136:M$145)&gt;0,MIN(MAX(0,I144-(L144)),MAX(0,'Расчет'!E73-(SUM(L136:L145)))*M144/SUM(M$136:M$145)),0)</x:f>
        <x:v>0</x:v>
      </x:c>
      <x:c r="O144" s="20" t="n">
        <x:f>IF(I144-(L144+N144)&gt;0.000000001,J144,0)</x:f>
        <x:v>0</x:v>
      </x:c>
      <x:c r="P144" s="24" t="n">
        <x:f>IF(SUM(O$136:O$145)&gt;0,MIN(MAX(0,I144-(L144+N144)),MAX(0,'Расчет'!E73-(SUM(L136:L145)+SUM(N136:N145)))*O144/SUM(O$136:O$145)),0)</x:f>
        <x:v>0</x:v>
      </x:c>
      <x:c r="Q144" s="20" t="n">
        <x:f>IF(I144-(L144+N144+P144)&gt;0.000000001,J144,0)</x:f>
        <x:v>0</x:v>
      </x:c>
      <x:c r="R144" s="24" t="n">
        <x:f>IF(SUM(Q$136:Q$145)&gt;0,MIN(MAX(0,I144-(L144+N144+P144)),MAX(0,'Расчет'!E73-(SUM(L136:L145)+SUM(N136:N145)+SUM(P136:P145)))*Q144/SUM(Q$136:Q$145)),0)</x:f>
        <x:v>0</x:v>
      </x:c>
      <x:c r="S144" s="20" t="n">
        <x:f>IF(I144-(L144+N144+P144+R144)&gt;0.000000001,J144,0)</x:f>
        <x:v>0</x:v>
      </x:c>
      <x:c r="T144" s="24" t="n">
        <x:f>IF(SUM(S$136:S$145)&gt;0,MIN(MAX(0,I144-(L144+N144+P144+R144)),MAX(0,'Расчет'!E73-(SUM(L136:L145)+SUM(N136:N145)+SUM(P136:P145)+SUM(R136:R145)))*S144/SUM(S$136:S$145)),0)</x:f>
        <x:v>0</x:v>
      </x:c>
      <x:c r="U144" s="20" t="n">
        <x:f>SUM(L144,N144,P144,R144,T144)</x:f>
        <x:v>0</x:v>
      </x:c>
      <x:c r="V144" s="20" t="n">
        <x:f>0</x:f>
        <x:v>0</x:v>
      </x:c>
      <x:c r="W144" s="20" t="n">
        <x:f>0</x:f>
        <x:v>0</x:v>
      </x:c>
      <x:c r="X144" s="20" t="n">
        <x:f>G144</x:f>
        <x:v>241.35592299217947</x:v>
      </x:c>
      <x:c r="Y144" s="20" t="n">
        <x:f>H144+U144</x:f>
        <x:v>0</x:v>
      </x:c>
      <x:c r="Z144" s="20" t="n">
        <x:f>G144-V144</x:f>
        <x:v>241.35592299217947</x:v>
      </x:c>
      <x:c r="AA144" s="20" t="n">
        <x:f>Y144-W144</x:f>
        <x:v>0</x:v>
      </x:c>
      <x:c r="AB144" s="20" t="n">
        <x:f>Z144-AA144</x:f>
        <x:v>241.35592299217947</x:v>
      </x:c>
    </x:row>
    <x:row r="145" ht="21" customHeight="1">
      <x:c r="A145" s="2" t="str">
        <x:v>Элитный</x:v>
      </x:c>
      <x:c r="B145" s="12" t="n">
        <x:v>2029</x:v>
      </x:c>
      <x:c r="C145" s="12" t="n">
        <x:v>2035</x:v>
      </x:c>
      <x:c r="D145" s="20" t="n">
        <x:f>Z135</x:f>
        <x:v>0</x:v>
      </x:c>
      <x:c r="E145" s="20" t="n">
        <x:f>AA135</x:f>
        <x:v>0</x:v>
      </x:c>
      <x:c r="F145" s="20" t="n">
        <x:f>0</x:f>
        <x:v>0</x:v>
      </x:c>
      <x:c r="G145" s="20" t="n">
        <x:f>D145+F145</x:f>
        <x:v>0</x:v>
      </x:c>
      <x:c r="H145" s="20" t="n">
        <x:f>E145</x:f>
        <x:v>0</x:v>
      </x:c>
      <x:c r="I145" s="20" t="n">
        <x:f>MAX(0,G145-H145)</x:f>
        <x:v>0</x:v>
      </x:c>
      <x:c r="J145" s="39" t="n">
        <x:f>0</x:f>
        <x:v>0</x:v>
      </x:c>
      <x:c r="K145" s="39" t="n">
        <x:f>IF(I145-(0)&gt;0.000000001,J145,0)</x:f>
        <x:v>0</x:v>
      </x:c>
      <x:c r="L145" s="24" t="n">
        <x:f>IF(SUM(K$136:K$145)&gt;0,MIN(MAX(0,I145-(0)),MAX(0,'Расчет'!E73-(0))*K145/SUM(K$136:K$145)),0)</x:f>
        <x:v>0</x:v>
      </x:c>
      <x:c r="M145" s="20" t="n">
        <x:f>IF(I145-(L145)&gt;0.000000001,J145,0)</x:f>
        <x:v>0</x:v>
      </x:c>
      <x:c r="N145" s="24" t="n">
        <x:f>IF(SUM(M$136:M$145)&gt;0,MIN(MAX(0,I145-(L145)),MAX(0,'Расчет'!E73-(SUM(L136:L145)))*M145/SUM(M$136:M$145)),0)</x:f>
        <x:v>0</x:v>
      </x:c>
      <x:c r="O145" s="20" t="n">
        <x:f>IF(I145-(L145+N145)&gt;0.000000001,J145,0)</x:f>
        <x:v>0</x:v>
      </x:c>
      <x:c r="P145" s="24" t="n">
        <x:f>IF(SUM(O$136:O$145)&gt;0,MIN(MAX(0,I145-(L145+N145)),MAX(0,'Расчет'!E73-(SUM(L136:L145)+SUM(N136:N145)))*O145/SUM(O$136:O$145)),0)</x:f>
        <x:v>0</x:v>
      </x:c>
      <x:c r="Q145" s="20" t="n">
        <x:f>IF(I145-(L145+N145+P145)&gt;0.000000001,J145,0)</x:f>
        <x:v>0</x:v>
      </x:c>
      <x:c r="R145" s="24" t="n">
        <x:f>IF(SUM(Q$136:Q$145)&gt;0,MIN(MAX(0,I145-(L145+N145+P145)),MAX(0,'Расчет'!E73-(SUM(L136:L145)+SUM(N136:N145)+SUM(P136:P145)))*Q145/SUM(Q$136:Q$145)),0)</x:f>
        <x:v>0</x:v>
      </x:c>
      <x:c r="S145" s="20" t="n">
        <x:f>IF(I145-(L145+N145+P145+R145)&gt;0.000000001,J145,0)</x:f>
        <x:v>0</x:v>
      </x:c>
      <x:c r="T145" s="24" t="n">
        <x:f>IF(SUM(S$136:S$145)&gt;0,MIN(MAX(0,I145-(L145+N145+P145+R145)),MAX(0,'Расчет'!E73-(SUM(L136:L145)+SUM(N136:N145)+SUM(P136:P145)+SUM(R136:R145)))*S145/SUM(S$136:S$145)),0)</x:f>
        <x:v>0</x:v>
      </x:c>
      <x:c r="U145" s="20" t="n">
        <x:f>SUM(L145,N145,P145,R145,T145)</x:f>
        <x:v>0</x:v>
      </x:c>
      <x:c r="V145" s="20" t="n">
        <x:f>0</x:f>
        <x:v>0</x:v>
      </x:c>
      <x:c r="W145" s="20" t="n">
        <x:f>0</x:f>
        <x:v>0</x:v>
      </x:c>
      <x:c r="X145" s="20" t="n">
        <x:f>G145</x:f>
        <x:v>0</x:v>
      </x:c>
      <x:c r="Y145" s="20" t="n">
        <x:f>H145+U145</x:f>
        <x:v>0</x:v>
      </x:c>
      <x:c r="Z145" s="20" t="n">
        <x:f>G145-V145</x:f>
        <x:v>0</x:v>
      </x:c>
      <x:c r="AA145" s="20" t="n">
        <x:f>Y145-W145</x:f>
        <x:v>0</x:v>
      </x:c>
      <x:c r="AB145" s="20" t="n">
        <x:f>Z145-AA145</x:f>
        <x:v>0</x:v>
      </x:c>
    </x:row>
    <x:row r="146" ht="21" customHeight="1">
      <x:c r="A146" s="2" t="str">
        <x:v>Элитный</x:v>
      </x:c>
      <x:c r="B146" s="12" t="n">
        <x:v>2030</x:v>
      </x:c>
      <x:c r="C146" s="12" t="n">
        <x:v>2026</x:v>
      </x:c>
      <x:c r="D146" s="20" t="n">
        <x:f>0</x:f>
        <x:v>0</x:v>
      </x:c>
      <x:c r="E146" s="20" t="n">
        <x:f>0</x:f>
        <x:v>0</x:v>
      </x:c>
      <x:c r="F146" s="20" t="n">
        <x:f>0</x:f>
        <x:v>0</x:v>
      </x:c>
      <x:c r="G146" s="20" t="n">
        <x:f>D146+F146</x:f>
        <x:v>0</x:v>
      </x:c>
      <x:c r="H146" s="20" t="n">
        <x:f>E146</x:f>
        <x:v>0</x:v>
      </x:c>
      <x:c r="I146" s="20" t="n">
        <x:f>MAX(0,G146-H146)</x:f>
        <x:v>0</x:v>
      </x:c>
      <x:c r="J146" s="39" t="n">
        <x:f>0</x:f>
        <x:v>0</x:v>
      </x:c>
      <x:c r="K146" s="39" t="n">
        <x:f>IF(I146-(0)&gt;0.000000001,J146,0)</x:f>
        <x:v>0</x:v>
      </x:c>
      <x:c r="L146" s="24" t="n">
        <x:f>IF(SUM(K$146:K$155)&gt;0,MIN(MAX(0,I146-(0)),MAX(0,'Расчет'!F73-(0))*K146/SUM(K$146:K$155)),0)</x:f>
        <x:v>0</x:v>
      </x:c>
      <x:c r="M146" s="20" t="n">
        <x:f>IF(I146-(L146)&gt;0.000000001,J146,0)</x:f>
        <x:v>0</x:v>
      </x:c>
      <x:c r="N146" s="24" t="n">
        <x:f>IF(SUM(M$146:M$155)&gt;0,MIN(MAX(0,I146-(L146)),MAX(0,'Расчет'!F73-(SUM(L146:L155)))*M146/SUM(M$146:M$155)),0)</x:f>
        <x:v>0</x:v>
      </x:c>
      <x:c r="O146" s="20" t="n">
        <x:f>IF(I146-(L146+N146)&gt;0.000000001,J146,0)</x:f>
        <x:v>0</x:v>
      </x:c>
      <x:c r="P146" s="24" t="n">
        <x:f>IF(SUM(O$146:O$155)&gt;0,MIN(MAX(0,I146-(L146+N146)),MAX(0,'Расчет'!F73-(SUM(L146:L155)+SUM(N146:N155)))*O146/SUM(O$146:O$155)),0)</x:f>
        <x:v>0</x:v>
      </x:c>
      <x:c r="Q146" s="20" t="n">
        <x:f>IF(I146-(L146+N146+P146)&gt;0.000000001,J146,0)</x:f>
        <x:v>0</x:v>
      </x:c>
      <x:c r="R146" s="24" t="n">
        <x:f>IF(SUM(Q$146:Q$155)&gt;0,MIN(MAX(0,I146-(L146+N146+P146)),MAX(0,'Расчет'!F73-(SUM(L146:L155)+SUM(N146:N155)+SUM(P146:P155)))*Q146/SUM(Q$146:Q$155)),0)</x:f>
        <x:v>0</x:v>
      </x:c>
      <x:c r="S146" s="20" t="n">
        <x:f>IF(I146-(L146+N146+P146+R146)&gt;0.000000001,J146,0)</x:f>
        <x:v>0</x:v>
      </x:c>
      <x:c r="T146" s="24" t="n">
        <x:f>IF(SUM(S$146:S$155)&gt;0,MIN(MAX(0,I146-(L146+N146+P146+R146)),MAX(0,'Расчет'!F73-(SUM(L146:L155)+SUM(N146:N155)+SUM(P146:P155)+SUM(R146:R155)))*S146/SUM(S$146:S$155)),0)</x:f>
        <x:v>0</x:v>
      </x:c>
      <x:c r="U146" s="20" t="n">
        <x:f>SUM(L146,N146,P146,R146,T146)</x:f>
        <x:v>0</x:v>
      </x:c>
      <x:c r="V146" s="20" t="n">
        <x:f>0</x:f>
        <x:v>0</x:v>
      </x:c>
      <x:c r="W146" s="20" t="n">
        <x:f>0</x:f>
        <x:v>0</x:v>
      </x:c>
      <x:c r="X146" s="20" t="n">
        <x:f>G146</x:f>
        <x:v>0</x:v>
      </x:c>
      <x:c r="Y146" s="20" t="n">
        <x:f>H146+U146</x:f>
        <x:v>0</x:v>
      </x:c>
      <x:c r="Z146" s="20" t="n">
        <x:f>G146-V146</x:f>
        <x:v>0</x:v>
      </x:c>
      <x:c r="AA146" s="20" t="n">
        <x:f>Y146-W146</x:f>
        <x:v>0</x:v>
      </x:c>
      <x:c r="AB146" s="20" t="n">
        <x:f>Z146-AA146</x:f>
        <x:v>0</x:v>
      </x:c>
    </x:row>
    <x:row r="147" ht="21" customHeight="1">
      <x:c r="A147" s="2" t="str">
        <x:v>Элитный</x:v>
      </x:c>
      <x:c r="B147" s="12" t="n">
        <x:v>2030</x:v>
      </x:c>
      <x:c r="C147" s="12" t="n">
        <x:v>2027</x:v>
      </x:c>
      <x:c r="D147" s="20" t="n">
        <x:f>0</x:f>
        <x:v>0</x:v>
      </x:c>
      <x:c r="E147" s="20" t="n">
        <x:f>0</x:f>
        <x:v>0</x:v>
      </x:c>
      <x:c r="F147" s="20" t="n">
        <x:f>0</x:f>
        <x:v>0</x:v>
      </x:c>
      <x:c r="G147" s="20" t="n">
        <x:f>D147+F147</x:f>
        <x:v>0</x:v>
      </x:c>
      <x:c r="H147" s="20" t="n">
        <x:f>E147</x:f>
        <x:v>0</x:v>
      </x:c>
      <x:c r="I147" s="20" t="n">
        <x:f>MAX(0,G147-H147)</x:f>
        <x:v>0</x:v>
      </x:c>
      <x:c r="J147" s="39" t="n">
        <x:f>0</x:f>
        <x:v>0</x:v>
      </x:c>
      <x:c r="K147" s="39" t="n">
        <x:f>IF(I147-(0)&gt;0.000000001,J147,0)</x:f>
        <x:v>0</x:v>
      </x:c>
      <x:c r="L147" s="24" t="n">
        <x:f>IF(SUM(K$146:K$155)&gt;0,MIN(MAX(0,I147-(0)),MAX(0,'Расчет'!F73-(0))*K147/SUM(K$146:K$155)),0)</x:f>
        <x:v>0</x:v>
      </x:c>
      <x:c r="M147" s="20" t="n">
        <x:f>IF(I147-(L147)&gt;0.000000001,J147,0)</x:f>
        <x:v>0</x:v>
      </x:c>
      <x:c r="N147" s="24" t="n">
        <x:f>IF(SUM(M$146:M$155)&gt;0,MIN(MAX(0,I147-(L147)),MAX(0,'Расчет'!F73-(SUM(L146:L155)))*M147/SUM(M$146:M$155)),0)</x:f>
        <x:v>0</x:v>
      </x:c>
      <x:c r="O147" s="20" t="n">
        <x:f>IF(I147-(L147+N147)&gt;0.000000001,J147,0)</x:f>
        <x:v>0</x:v>
      </x:c>
      <x:c r="P147" s="24" t="n">
        <x:f>IF(SUM(O$146:O$155)&gt;0,MIN(MAX(0,I147-(L147+N147)),MAX(0,'Расчет'!F73-(SUM(L146:L155)+SUM(N146:N155)))*O147/SUM(O$146:O$155)),0)</x:f>
        <x:v>0</x:v>
      </x:c>
      <x:c r="Q147" s="20" t="n">
        <x:f>IF(I147-(L147+N147+P147)&gt;0.000000001,J147,0)</x:f>
        <x:v>0</x:v>
      </x:c>
      <x:c r="R147" s="24" t="n">
        <x:f>IF(SUM(Q$146:Q$155)&gt;0,MIN(MAX(0,I147-(L147+N147+P147)),MAX(0,'Расчет'!F73-(SUM(L146:L155)+SUM(N146:N155)+SUM(P146:P155)))*Q147/SUM(Q$146:Q$155)),0)</x:f>
        <x:v>0</x:v>
      </x:c>
      <x:c r="S147" s="20" t="n">
        <x:f>IF(I147-(L147+N147+P147+R147)&gt;0.000000001,J147,0)</x:f>
        <x:v>0</x:v>
      </x:c>
      <x:c r="T147" s="24" t="n">
        <x:f>IF(SUM(S$146:S$155)&gt;0,MIN(MAX(0,I147-(L147+N147+P147+R147)),MAX(0,'Расчет'!F73-(SUM(L146:L155)+SUM(N146:N155)+SUM(P146:P155)+SUM(R146:R155)))*S147/SUM(S$146:S$155)),0)</x:f>
        <x:v>0</x:v>
      </x:c>
      <x:c r="U147" s="20" t="n">
        <x:f>SUM(L147,N147,P147,R147,T147)</x:f>
        <x:v>0</x:v>
      </x:c>
      <x:c r="V147" s="20" t="n">
        <x:f>0</x:f>
        <x:v>0</x:v>
      </x:c>
      <x:c r="W147" s="20" t="n">
        <x:f>0</x:f>
        <x:v>0</x:v>
      </x:c>
      <x:c r="X147" s="20" t="n">
        <x:f>G147</x:f>
        <x:v>0</x:v>
      </x:c>
      <x:c r="Y147" s="20" t="n">
        <x:f>H147+U147</x:f>
        <x:v>0</x:v>
      </x:c>
      <x:c r="Z147" s="20" t="n">
        <x:f>G147-V147</x:f>
        <x:v>0</x:v>
      </x:c>
      <x:c r="AA147" s="20" t="n">
        <x:f>Y147-W147</x:f>
        <x:v>0</x:v>
      </x:c>
      <x:c r="AB147" s="20" t="n">
        <x:f>Z147-AA147</x:f>
        <x:v>0</x:v>
      </x:c>
    </x:row>
    <x:row r="148" ht="21" customHeight="1">
      <x:c r="A148" s="2" t="str">
        <x:v>Элитный</x:v>
      </x:c>
      <x:c r="B148" s="12" t="n">
        <x:v>2030</x:v>
      </x:c>
      <x:c r="C148" s="12" t="n">
        <x:v>2028</x:v>
      </x:c>
      <x:c r="D148" s="20" t="n">
        <x:f>0</x:f>
        <x:v>0</x:v>
      </x:c>
      <x:c r="E148" s="20" t="n">
        <x:f>0</x:f>
        <x:v>0</x:v>
      </x:c>
      <x:c r="F148" s="20" t="n">
        <x:f>0</x:f>
        <x:v>0</x:v>
      </x:c>
      <x:c r="G148" s="20" t="n">
        <x:f>D148+F148</x:f>
        <x:v>0</x:v>
      </x:c>
      <x:c r="H148" s="20" t="n">
        <x:f>E148</x:f>
        <x:v>0</x:v>
      </x:c>
      <x:c r="I148" s="20" t="n">
        <x:f>MAX(0,G148-H148)</x:f>
        <x:v>0</x:v>
      </x:c>
      <x:c r="J148" s="39" t="n">
        <x:f>0</x:f>
        <x:v>0</x:v>
      </x:c>
      <x:c r="K148" s="39" t="n">
        <x:f>IF(I148-(0)&gt;0.000000001,J148,0)</x:f>
        <x:v>0</x:v>
      </x:c>
      <x:c r="L148" s="24" t="n">
        <x:f>IF(SUM(K$146:K$155)&gt;0,MIN(MAX(0,I148-(0)),MAX(0,'Расчет'!F73-(0))*K148/SUM(K$146:K$155)),0)</x:f>
        <x:v>0</x:v>
      </x:c>
      <x:c r="M148" s="20" t="n">
        <x:f>IF(I148-(L148)&gt;0.000000001,J148,0)</x:f>
        <x:v>0</x:v>
      </x:c>
      <x:c r="N148" s="24" t="n">
        <x:f>IF(SUM(M$146:M$155)&gt;0,MIN(MAX(0,I148-(L148)),MAX(0,'Расчет'!F73-(SUM(L146:L155)))*M148/SUM(M$146:M$155)),0)</x:f>
        <x:v>0</x:v>
      </x:c>
      <x:c r="O148" s="20" t="n">
        <x:f>IF(I148-(L148+N148)&gt;0.000000001,J148,0)</x:f>
        <x:v>0</x:v>
      </x:c>
      <x:c r="P148" s="24" t="n">
        <x:f>IF(SUM(O$146:O$155)&gt;0,MIN(MAX(0,I148-(L148+N148)),MAX(0,'Расчет'!F73-(SUM(L146:L155)+SUM(N146:N155)))*O148/SUM(O$146:O$155)),0)</x:f>
        <x:v>0</x:v>
      </x:c>
      <x:c r="Q148" s="20" t="n">
        <x:f>IF(I148-(L148+N148+P148)&gt;0.000000001,J148,0)</x:f>
        <x:v>0</x:v>
      </x:c>
      <x:c r="R148" s="24" t="n">
        <x:f>IF(SUM(Q$146:Q$155)&gt;0,MIN(MAX(0,I148-(L148+N148+P148)),MAX(0,'Расчет'!F73-(SUM(L146:L155)+SUM(N146:N155)+SUM(P146:P155)))*Q148/SUM(Q$146:Q$155)),0)</x:f>
        <x:v>0</x:v>
      </x:c>
      <x:c r="S148" s="20" t="n">
        <x:f>IF(I148-(L148+N148+P148+R148)&gt;0.000000001,J148,0)</x:f>
        <x:v>0</x:v>
      </x:c>
      <x:c r="T148" s="24" t="n">
        <x:f>IF(SUM(S$146:S$155)&gt;0,MIN(MAX(0,I148-(L148+N148+P148+R148)),MAX(0,'Расчет'!F73-(SUM(L146:L155)+SUM(N146:N155)+SUM(P146:P155)+SUM(R146:R155)))*S148/SUM(S$146:S$155)),0)</x:f>
        <x:v>0</x:v>
      </x:c>
      <x:c r="U148" s="20" t="n">
        <x:f>SUM(L148,N148,P148,R148,T148)</x:f>
        <x:v>0</x:v>
      </x:c>
      <x:c r="V148" s="20" t="n">
        <x:f>0</x:f>
        <x:v>0</x:v>
      </x:c>
      <x:c r="W148" s="20" t="n">
        <x:f>0</x:f>
        <x:v>0</x:v>
      </x:c>
      <x:c r="X148" s="20" t="n">
        <x:f>G148</x:f>
        <x:v>0</x:v>
      </x:c>
      <x:c r="Y148" s="20" t="n">
        <x:f>H148+U148</x:f>
        <x:v>0</x:v>
      </x:c>
      <x:c r="Z148" s="20" t="n">
        <x:f>G148-V148</x:f>
        <x:v>0</x:v>
      </x:c>
      <x:c r="AA148" s="20" t="n">
        <x:f>Y148-W148</x:f>
        <x:v>0</x:v>
      </x:c>
      <x:c r="AB148" s="20" t="n">
        <x:f>Z148-AA148</x:f>
        <x:v>0</x:v>
      </x:c>
    </x:row>
    <x:row r="149" ht="21" customHeight="1">
      <x:c r="A149" s="2" t="str">
        <x:v>Элитный</x:v>
      </x:c>
      <x:c r="B149" s="12" t="n">
        <x:v>2030</x:v>
      </x:c>
      <x:c r="C149" s="12" t="n">
        <x:v>2029</x:v>
      </x:c>
      <x:c r="D149" s="20" t="n">
        <x:f>0</x:f>
        <x:v>0</x:v>
      </x:c>
      <x:c r="E149" s="20" t="n">
        <x:f>0</x:f>
        <x:v>0</x:v>
      </x:c>
      <x:c r="F149" s="20" t="n">
        <x:f>0</x:f>
        <x:v>0</x:v>
      </x:c>
      <x:c r="G149" s="20" t="n">
        <x:f>D149+F149</x:f>
        <x:v>0</x:v>
      </x:c>
      <x:c r="H149" s="20" t="n">
        <x:f>E149</x:f>
        <x:v>0</x:v>
      </x:c>
      <x:c r="I149" s="20" t="n">
        <x:f>MAX(0,G149-H149)</x:f>
        <x:v>0</x:v>
      </x:c>
      <x:c r="J149" s="39" t="n">
        <x:f>0</x:f>
        <x:v>0</x:v>
      </x:c>
      <x:c r="K149" s="39" t="n">
        <x:f>IF(I149-(0)&gt;0.000000001,J149,0)</x:f>
        <x:v>0</x:v>
      </x:c>
      <x:c r="L149" s="24" t="n">
        <x:f>IF(SUM(K$146:K$155)&gt;0,MIN(MAX(0,I149-(0)),MAX(0,'Расчет'!F73-(0))*K149/SUM(K$146:K$155)),0)</x:f>
        <x:v>0</x:v>
      </x:c>
      <x:c r="M149" s="20" t="n">
        <x:f>IF(I149-(L149)&gt;0.000000001,J149,0)</x:f>
        <x:v>0</x:v>
      </x:c>
      <x:c r="N149" s="24" t="n">
        <x:f>IF(SUM(M$146:M$155)&gt;0,MIN(MAX(0,I149-(L149)),MAX(0,'Расчет'!F73-(SUM(L146:L155)))*M149/SUM(M$146:M$155)),0)</x:f>
        <x:v>0</x:v>
      </x:c>
      <x:c r="O149" s="20" t="n">
        <x:f>IF(I149-(L149+N149)&gt;0.000000001,J149,0)</x:f>
        <x:v>0</x:v>
      </x:c>
      <x:c r="P149" s="24" t="n">
        <x:f>IF(SUM(O$146:O$155)&gt;0,MIN(MAX(0,I149-(L149+N149)),MAX(0,'Расчет'!F73-(SUM(L146:L155)+SUM(N146:N155)))*O149/SUM(O$146:O$155)),0)</x:f>
        <x:v>0</x:v>
      </x:c>
      <x:c r="Q149" s="20" t="n">
        <x:f>IF(I149-(L149+N149+P149)&gt;0.000000001,J149,0)</x:f>
        <x:v>0</x:v>
      </x:c>
      <x:c r="R149" s="24" t="n">
        <x:f>IF(SUM(Q$146:Q$155)&gt;0,MIN(MAX(0,I149-(L149+N149+P149)),MAX(0,'Расчет'!F73-(SUM(L146:L155)+SUM(N146:N155)+SUM(P146:P155)))*Q149/SUM(Q$146:Q$155)),0)</x:f>
        <x:v>0</x:v>
      </x:c>
      <x:c r="S149" s="20" t="n">
        <x:f>IF(I149-(L149+N149+P149+R149)&gt;0.000000001,J149,0)</x:f>
        <x:v>0</x:v>
      </x:c>
      <x:c r="T149" s="24" t="n">
        <x:f>IF(SUM(S$146:S$155)&gt;0,MIN(MAX(0,I149-(L149+N149+P149+R149)),MAX(0,'Расчет'!F73-(SUM(L146:L155)+SUM(N146:N155)+SUM(P146:P155)+SUM(R146:R155)))*S149/SUM(S$146:S$155)),0)</x:f>
        <x:v>0</x:v>
      </x:c>
      <x:c r="U149" s="20" t="n">
        <x:f>SUM(L149,N149,P149,R149,T149)</x:f>
        <x:v>0</x:v>
      </x:c>
      <x:c r="V149" s="20" t="n">
        <x:f>0</x:f>
        <x:v>0</x:v>
      </x:c>
      <x:c r="W149" s="20" t="n">
        <x:f>0</x:f>
        <x:v>0</x:v>
      </x:c>
      <x:c r="X149" s="20" t="n">
        <x:f>G149</x:f>
        <x:v>0</x:v>
      </x:c>
      <x:c r="Y149" s="20" t="n">
        <x:f>H149+U149</x:f>
        <x:v>0</x:v>
      </x:c>
      <x:c r="Z149" s="20" t="n">
        <x:f>G149-V149</x:f>
        <x:v>0</x:v>
      </x:c>
      <x:c r="AA149" s="20" t="n">
        <x:f>Y149-W149</x:f>
        <x:v>0</x:v>
      </x:c>
      <x:c r="AB149" s="20" t="n">
        <x:f>Z149-AA149</x:f>
        <x:v>0</x:v>
      </x:c>
    </x:row>
    <x:row r="150" ht="21" customHeight="1">
      <x:c r="A150" s="2" t="str">
        <x:v>Элитный</x:v>
      </x:c>
      <x:c r="B150" s="12" t="n">
        <x:v>2030</x:v>
      </x:c>
      <x:c r="C150" s="12" t="n">
        <x:v>2030</x:v>
      </x:c>
      <x:c r="D150" s="20" t="n">
        <x:f>Z140+Z139</x:f>
        <x:v>805.217008013067</x:v>
      </x:c>
      <x:c r="E150" s="20" t="n">
        <x:f>AA140+AA139</x:f>
        <x:v>706.3018615951621</x:v>
      </x:c>
      <x:c r="F150" s="24" t="n">
        <x:f>'Расчет'!F64*'Допущения'!B26</x:f>
        <x:v>0</x:v>
      </x:c>
      <x:c r="G150" s="20" t="n">
        <x:f>D150+F150</x:f>
        <x:v>805.217008013067</x:v>
      </x:c>
      <x:c r="H150" s="20" t="n">
        <x:f>E150</x:f>
        <x:v>706.3018615951621</x:v>
      </x:c>
      <x:c r="I150" s="20" t="n">
        <x:f>MAX(0,G150-H150)</x:f>
        <x:v>98.91514641790491</x:v>
      </x:c>
      <x:c r="J150" s="38" t="n">
        <x:f>'Допущения'!B30</x:f>
        <x:v>0.1357</x:v>
      </x:c>
      <x:c r="K150" s="39" t="n">
        <x:f>IF(I150-(0)&gt;0.000000001,J150,0)</x:f>
        <x:v>0.1357</x:v>
      </x:c>
      <x:c r="L150" s="24" t="n">
        <x:f>IF(SUM(K$146:K$155)&gt;0,MIN(MAX(0,I150-(0)),MAX(0,'Расчет'!F73-(0))*K150/SUM(K$146:K$155)),0)</x:f>
        <x:v>98.91514641790491</x:v>
      </x:c>
      <x:c r="M150" s="20" t="n">
        <x:f>IF(I150-(L150)&gt;0.000000001,J150,0)</x:f>
        <x:v>0</x:v>
      </x:c>
      <x:c r="N150" s="24" t="n">
        <x:f>IF(SUM(M$146:M$155)&gt;0,MIN(MAX(0,I150-(L150)),MAX(0,'Расчет'!F73-(SUM(L146:L155)))*M150/SUM(M$146:M$155)),0)</x:f>
        <x:v>0</x:v>
      </x:c>
      <x:c r="O150" s="20" t="n">
        <x:f>IF(I150-(L150+N150)&gt;0.000000001,J150,0)</x:f>
        <x:v>0</x:v>
      </x:c>
      <x:c r="P150" s="24" t="n">
        <x:f>IF(SUM(O$146:O$155)&gt;0,MIN(MAX(0,I150-(L150+N150)),MAX(0,'Расчет'!F73-(SUM(L146:L155)+SUM(N146:N155)))*O150/SUM(O$146:O$155)),0)</x:f>
        <x:v>0</x:v>
      </x:c>
      <x:c r="Q150" s="20" t="n">
        <x:f>IF(I150-(L150+N150+P150)&gt;0.000000001,J150,0)</x:f>
        <x:v>0</x:v>
      </x:c>
      <x:c r="R150" s="24" t="n">
        <x:f>IF(SUM(Q$146:Q$155)&gt;0,MIN(MAX(0,I150-(L150+N150+P150)),MAX(0,'Расчет'!F73-(SUM(L146:L155)+SUM(N146:N155)+SUM(P146:P155)))*Q150/SUM(Q$146:Q$155)),0)</x:f>
        <x:v>0</x:v>
      </x:c>
      <x:c r="S150" s="20" t="n">
        <x:f>IF(I150-(L150+N150+P150+R150)&gt;0.000000001,J150,0)</x:f>
        <x:v>0</x:v>
      </x:c>
      <x:c r="T150" s="24" t="n">
        <x:f>IF(SUM(S$146:S$155)&gt;0,MIN(MAX(0,I150-(L150+N150+P150+R150)),MAX(0,'Расчет'!F73-(SUM(L146:L155)+SUM(N146:N155)+SUM(P146:P155)+SUM(R146:R155)))*S150/SUM(S$146:S$155)),0)</x:f>
        <x:v>0</x:v>
      </x:c>
      <x:c r="U150" s="20" t="n">
        <x:f>SUM(L150,N150,P150,R150,T150)</x:f>
        <x:v>98.91514641790491</x:v>
      </x:c>
      <x:c r="V150" s="24" t="n">
        <x:f>G150*(1-'Допущения'!F7)</x:f>
        <x:v>764.9561576124137</x:v>
      </x:c>
      <x:c r="W150" s="24" t="n">
        <x:f>Y150*(1-'Допущения'!F7)</x:f>
        <x:v>764.9561576124137</x:v>
      </x:c>
      <x:c r="X150" s="20" t="n">
        <x:f>G150</x:f>
        <x:v>805.217008013067</x:v>
      </x:c>
      <x:c r="Y150" s="20" t="n">
        <x:f>H150+U150</x:f>
        <x:v>805.217008013067</x:v>
      </x:c>
      <x:c r="Z150" s="20" t="n">
        <x:f>G150-V150</x:f>
        <x:v>40.26085040065334</x:v>
      </x:c>
      <x:c r="AA150" s="20" t="n">
        <x:f>Y150-W150</x:f>
        <x:v>40.26085040065334</x:v>
      </x:c>
      <x:c r="AB150" s="20" t="n">
        <x:f>Z150-AA150</x:f>
        <x:v>0</x:v>
      </x:c>
    </x:row>
    <x:row r="151" ht="21" customHeight="1">
      <x:c r="A151" s="2" t="str">
        <x:v>Элитный</x:v>
      </x:c>
      <x:c r="B151" s="12" t="n">
        <x:v>2030</x:v>
      </x:c>
      <x:c r="C151" s="12" t="n">
        <x:v>2031</x:v>
      </x:c>
      <x:c r="D151" s="20" t="n">
        <x:f>Z141</x:f>
        <x:v>866.6638518327748</x:v>
      </x:c>
      <x:c r="E151" s="20" t="n">
        <x:f>AA141</x:f>
        <x:v>416.575818239063</x:v>
      </x:c>
      <x:c r="F151" s="24" t="n">
        <x:f>'Расчет'!F64*'Допущения'!C26</x:f>
        <x:v>0.6943152150882834</x:v>
      </x:c>
      <x:c r="G151" s="20" t="n">
        <x:f>D151+F151</x:f>
        <x:v>867.358167047863</x:v>
      </x:c>
      <x:c r="H151" s="20" t="n">
        <x:f>E151</x:f>
        <x:v>416.575818239063</x:v>
      </x:c>
      <x:c r="I151" s="20" t="n">
        <x:f>MAX(0,G151-H151)</x:f>
        <x:v>450.78234880880007</x:v>
      </x:c>
      <x:c r="J151" s="38" t="n">
        <x:f>'Допущения'!C30</x:f>
        <x:v>0.3612</x:v>
      </x:c>
      <x:c r="K151" s="39" t="n">
        <x:f>IF(I151-(0)&gt;0.000000001,J151,0)</x:f>
        <x:v>0.3612</x:v>
      </x:c>
      <x:c r="L151" s="24" t="n">
        <x:f>IF(SUM(K$146:K$155)&gt;0,MIN(MAX(0,I151-(0)),MAX(0,'Расчет'!F73-(0))*K151/SUM(K$146:K$155)),0)</x:f>
        <x:v>354.27869018084164</x:v>
      </x:c>
      <x:c r="M151" s="20" t="n">
        <x:f>IF(I151-(L151)&gt;0.000000001,J151,0)</x:f>
        <x:v>0.3612</x:v>
      </x:c>
      <x:c r="N151" s="24" t="n">
        <x:f>IF(SUM(M$146:M$155)&gt;0,MIN(MAX(0,I151-(L151)),MAX(0,'Расчет'!F73-(SUM(L146:L155)))*M151/SUM(M$146:M$155)),0)</x:f>
        <x:v>14.28608975054139</x:v>
      </x:c>
      <x:c r="O151" s="20" t="n">
        <x:f>IF(I151-(L151+N151)&gt;0.000000001,J151,0)</x:f>
        <x:v>0.3612</x:v>
      </x:c>
      <x:c r="P151" s="24" t="n">
        <x:f>IF(SUM(O$146:O$155)&gt;0,MIN(MAX(0,I151-(L151+N151)),MAX(0,'Расчет'!F73-(SUM(L146:L155)+SUM(N146:N155)))*O151/SUM(O$146:O$155)),0)</x:f>
        <x:v>0</x:v>
      </x:c>
      <x:c r="Q151" s="20" t="n">
        <x:f>IF(I151-(L151+N151+P151)&gt;0.000000001,J151,0)</x:f>
        <x:v>0.3612</x:v>
      </x:c>
      <x:c r="R151" s="24" t="n">
        <x:f>IF(SUM(Q$146:Q$155)&gt;0,MIN(MAX(0,I151-(L151+N151+P151)),MAX(0,'Расчет'!F73-(SUM(L146:L155)+SUM(N146:N155)+SUM(P146:P155)))*Q151/SUM(Q$146:Q$155)),0)</x:f>
        <x:v>0</x:v>
      </x:c>
      <x:c r="S151" s="20" t="n">
        <x:f>IF(I151-(L151+N151+P151+R151)&gt;0.000000001,J151,0)</x:f>
        <x:v>0.3612</x:v>
      </x:c>
      <x:c r="T151" s="24" t="n">
        <x:f>IF(SUM(S$146:S$155)&gt;0,MIN(MAX(0,I151-(L151+N151+P151+R151)),MAX(0,'Расчет'!F73-(SUM(L146:L155)+SUM(N146:N155)+SUM(P146:P155)+SUM(R146:R155)))*S151/SUM(S$146:S$155)),0)</x:f>
        <x:v>0</x:v>
      </x:c>
      <x:c r="U151" s="20" t="n">
        <x:f>SUM(L151,N151,P151,R151,T151)</x:f>
        <x:v>368.56477993138304</x:v>
      </x:c>
      <x:c r="V151" s="20" t="n">
        <x:f>0</x:f>
        <x:v>0</x:v>
      </x:c>
      <x:c r="W151" s="20" t="n">
        <x:f>0</x:f>
        <x:v>0</x:v>
      </x:c>
      <x:c r="X151" s="20" t="n">
        <x:f>G151</x:f>
        <x:v>867.358167047863</x:v>
      </x:c>
      <x:c r="Y151" s="20" t="n">
        <x:f>H151+U151</x:f>
        <x:v>785.1405981704461</x:v>
      </x:c>
      <x:c r="Z151" s="20" t="n">
        <x:f>G151-V151</x:f>
        <x:v>867.358167047863</x:v>
      </x:c>
      <x:c r="AA151" s="20" t="n">
        <x:f>Y151-W151</x:f>
        <x:v>785.1405981704461</x:v>
      </x:c>
      <x:c r="AB151" s="20" t="n">
        <x:f>Z151-AA151</x:f>
        <x:v>82.21756887741697</x:v>
      </x:c>
    </x:row>
    <x:row r="152" ht="21" customHeight="1">
      <x:c r="A152" s="2" t="str">
        <x:v>Элитный</x:v>
      </x:c>
      <x:c r="B152" s="12" t="n">
        <x:v>2030</x:v>
      </x:c>
      <x:c r="C152" s="12" t="n">
        <x:v>2032</x:v>
      </x:c>
      <x:c r="D152" s="20" t="n">
        <x:f>Z142</x:f>
        <x:v>964.344703124993</x:v>
      </x:c>
      <x:c r="E152" s="20" t="n">
        <x:f>AA142</x:f>
        <x:v>166.43965929691768</x:v>
      </x:c>
      <x:c r="F152" s="24" t="n">
        <x:f>'Расчет'!F64*'Допущения'!D26</x:f>
        <x:v>30.887984826766992</x:v>
      </x:c>
      <x:c r="G152" s="20" t="n">
        <x:f>D152+F152</x:f>
        <x:v>995.23268795176</x:v>
      </x:c>
      <x:c r="H152" s="20" t="n">
        <x:f>E152</x:f>
        <x:v>166.43965929691768</x:v>
      </x:c>
      <x:c r="I152" s="20" t="n">
        <x:f>MAX(0,G152-H152)</x:f>
        <x:v>828.7930286548424</x:v>
      </x:c>
      <x:c r="J152" s="38" t="n">
        <x:f>'Допущения'!D30</x:f>
        <x:v>0.3111</x:v>
      </x:c>
      <x:c r="K152" s="39" t="n">
        <x:f>IF(I152-(0)&gt;0.000000001,J152,0)</x:f>
        <x:v>0.3111</x:v>
      </x:c>
      <x:c r="L152" s="24" t="n">
        <x:f>IF(SUM(K$146:K$155)&gt;0,MIN(MAX(0,I152-(0)),MAX(0,'Расчет'!F73-(0))*K152/SUM(K$146:K$155)),0)</x:f>
        <x:v>305.13870574545905</x:v>
      </x:c>
      <x:c r="M152" s="20" t="n">
        <x:f>IF(I152-(L152)&gt;0.000000001,J152,0)</x:f>
        <x:v>0.3111</x:v>
      </x:c>
      <x:c r="N152" s="24" t="n">
        <x:f>IF(SUM(M$146:M$155)&gt;0,MIN(MAX(0,I152-(L152)),MAX(0,'Расчет'!F73-(SUM(L146:L155)))*M152/SUM(M$146:M$155)),0)</x:f>
        <x:v>12.304547401421445</x:v>
      </x:c>
      <x:c r="O152" s="20" t="n">
        <x:f>IF(I152-(L152+N152)&gt;0.000000001,J152,0)</x:f>
        <x:v>0.3111</x:v>
      </x:c>
      <x:c r="P152" s="24" t="n">
        <x:f>IF(SUM(O$146:O$155)&gt;0,MIN(MAX(0,I152-(L152+N152)),MAX(0,'Расчет'!F73-(SUM(L146:L155)+SUM(N146:N155)))*O152/SUM(O$146:O$155)),0)</x:f>
        <x:v>0</x:v>
      </x:c>
      <x:c r="Q152" s="20" t="n">
        <x:f>IF(I152-(L152+N152+P152)&gt;0.000000001,J152,0)</x:f>
        <x:v>0.3111</x:v>
      </x:c>
      <x:c r="R152" s="24" t="n">
        <x:f>IF(SUM(Q$146:Q$155)&gt;0,MIN(MAX(0,I152-(L152+N152+P152)),MAX(0,'Расчет'!F73-(SUM(L146:L155)+SUM(N146:N155)+SUM(P146:P155)))*Q152/SUM(Q$146:Q$155)),0)</x:f>
        <x:v>0</x:v>
      </x:c>
      <x:c r="S152" s="20" t="n">
        <x:f>IF(I152-(L152+N152+P152+R152)&gt;0.000000001,J152,0)</x:f>
        <x:v>0.3111</x:v>
      </x:c>
      <x:c r="T152" s="24" t="n">
        <x:f>IF(SUM(S$146:S$155)&gt;0,MIN(MAX(0,I152-(L152+N152+P152+R152)),MAX(0,'Расчет'!F73-(SUM(L146:L155)+SUM(N146:N155)+SUM(P146:P155)+SUM(R146:R155)))*S152/SUM(S$146:S$155)),0)</x:f>
        <x:v>0</x:v>
      </x:c>
      <x:c r="U152" s="20" t="n">
        <x:f>SUM(L152,N152,P152,R152,T152)</x:f>
        <x:v>317.44325314688047</x:v>
      </x:c>
      <x:c r="V152" s="20" t="n">
        <x:f>0</x:f>
        <x:v>0</x:v>
      </x:c>
      <x:c r="W152" s="20" t="n">
        <x:f>0</x:f>
        <x:v>0</x:v>
      </x:c>
      <x:c r="X152" s="20" t="n">
        <x:f>G152</x:f>
        <x:v>995.23268795176</x:v>
      </x:c>
      <x:c r="Y152" s="20" t="n">
        <x:f>H152+U152</x:f>
        <x:v>483.88291244379815</x:v>
      </x:c>
      <x:c r="Z152" s="20" t="n">
        <x:f>G152-V152</x:f>
        <x:v>995.23268795176</x:v>
      </x:c>
      <x:c r="AA152" s="20" t="n">
        <x:f>Y152-W152</x:f>
        <x:v>483.88291244379815</x:v>
      </x:c>
      <x:c r="AB152" s="20" t="n">
        <x:f>Z152-AA152</x:f>
        <x:v>511.34977550796185</x:v>
      </x:c>
    </x:row>
    <x:row r="153" ht="21" customHeight="1">
      <x:c r="A153" s="2" t="str">
        <x:v>Элитный</x:v>
      </x:c>
      <x:c r="B153" s="12" t="n">
        <x:v>2030</x:v>
      </x:c>
      <x:c r="C153" s="12" t="n">
        <x:v>2033</x:v>
      </x:c>
      <x:c r="D153" s="20" t="n">
        <x:f>Z143</x:f>
        <x:v>542.8360887092449</x:v>
      </x:c>
      <x:c r="E153" s="20" t="n">
        <x:f>AA143</x:f>
        <x:v>38.595397116992686</x:v>
      </x:c>
      <x:c r="F153" s="24" t="n">
        <x:f>'Расчет'!F64*'Допущения'!E26</x:f>
        <x:v>484.7929928468542</x:v>
      </x:c>
      <x:c r="G153" s="20" t="n">
        <x:f>D153+F153</x:f>
        <x:v>1027.6290815560992</x:v>
      </x:c>
      <x:c r="H153" s="20" t="n">
        <x:f>E153</x:f>
        <x:v>38.595397116992686</x:v>
      </x:c>
      <x:c r="I153" s="20" t="n">
        <x:f>MAX(0,G153-H153)</x:f>
        <x:v>989.0336844391065</x:v>
      </x:c>
      <x:c r="J153" s="38" t="n">
        <x:f>'Допущения'!E30</x:f>
        <x:v>0.1495</x:v>
      </x:c>
      <x:c r="K153" s="39" t="n">
        <x:f>IF(I153-(0)&gt;0.000000001,J153,0)</x:f>
        <x:v>0.1495</x:v>
      </x:c>
      <x:c r="L153" s="24" t="n">
        <x:f>IF(SUM(K$146:K$155)&gt;0,MIN(MAX(0,I153-(0)),MAX(0,'Расчет'!F73-(0))*K153/SUM(K$146:K$155)),0)</x:f>
        <x:v>146.6352828960017</x:v>
      </x:c>
      <x:c r="M153" s="20" t="n">
        <x:f>IF(I153-(L153)&gt;0.000000001,J153,0)</x:f>
        <x:v>0.1495</x:v>
      </x:c>
      <x:c r="N153" s="24" t="n">
        <x:f>IF(SUM(M$146:M$155)&gt;0,MIN(MAX(0,I153-(L153)),MAX(0,'Расчет'!F73-(SUM(L146:L155)))*M153/SUM(M$146:M$155)),0)</x:f>
        <x:v>5.912985652563504</x:v>
      </x:c>
      <x:c r="O153" s="20" t="n">
        <x:f>IF(I153-(L153+N153)&gt;0.000000001,J153,0)</x:f>
        <x:v>0.1495</x:v>
      </x:c>
      <x:c r="P153" s="24" t="n">
        <x:f>IF(SUM(O$146:O$155)&gt;0,MIN(MAX(0,I153-(L153+N153)),MAX(0,'Расчет'!F73-(SUM(L146:L155)+SUM(N146:N155)))*O153/SUM(O$146:O$155)),0)</x:f>
        <x:v>0</x:v>
      </x:c>
      <x:c r="Q153" s="20" t="n">
        <x:f>IF(I153-(L153+N153+P153)&gt;0.000000001,J153,0)</x:f>
        <x:v>0.1495</x:v>
      </x:c>
      <x:c r="R153" s="24" t="n">
        <x:f>IF(SUM(Q$146:Q$155)&gt;0,MIN(MAX(0,I153-(L153+N153+P153)),MAX(0,'Расчет'!F73-(SUM(L146:L155)+SUM(N146:N155)+SUM(P146:P155)))*Q153/SUM(Q$146:Q$155)),0)</x:f>
        <x:v>0</x:v>
      </x:c>
      <x:c r="S153" s="20" t="n">
        <x:f>IF(I153-(L153+N153+P153+R153)&gt;0.000000001,J153,0)</x:f>
        <x:v>0.1495</x:v>
      </x:c>
      <x:c r="T153" s="24" t="n">
        <x:f>IF(SUM(S$146:S$155)&gt;0,MIN(MAX(0,I153-(L153+N153+P153+R153)),MAX(0,'Расчет'!F73-(SUM(L146:L155)+SUM(N146:N155)+SUM(P146:P155)+SUM(R146:R155)))*S153/SUM(S$146:S$155)),0)</x:f>
        <x:v>0</x:v>
      </x:c>
      <x:c r="U153" s="20" t="n">
        <x:f>SUM(L153,N153,P153,R153,T153)</x:f>
        <x:v>152.5482685485652</x:v>
      </x:c>
      <x:c r="V153" s="20" t="n">
        <x:f>0</x:f>
        <x:v>0</x:v>
      </x:c>
      <x:c r="W153" s="20" t="n">
        <x:f>0</x:f>
        <x:v>0</x:v>
      </x:c>
      <x:c r="X153" s="20" t="n">
        <x:f>G153</x:f>
        <x:v>1027.6290815560992</x:v>
      </x:c>
      <x:c r="Y153" s="20" t="n">
        <x:f>H153+U153</x:f>
        <x:v>191.14366566555788</x:v>
      </x:c>
      <x:c r="Z153" s="20" t="n">
        <x:f>G153-V153</x:f>
        <x:v>1027.6290815560992</x:v>
      </x:c>
      <x:c r="AA153" s="20" t="n">
        <x:f>Y153-W153</x:f>
        <x:v>191.14366566555788</x:v>
      </x:c>
      <x:c r="AB153" s="20" t="n">
        <x:f>Z153-AA153</x:f>
        <x:v>836.4854158905414</x:v>
      </x:c>
    </x:row>
    <x:row r="154" ht="21" customHeight="1">
      <x:c r="A154" s="2" t="str">
        <x:v>Элитный</x:v>
      </x:c>
      <x:c r="B154" s="12" t="n">
        <x:v>2030</x:v>
      </x:c>
      <x:c r="C154" s="12" t="n">
        <x:v>2034</x:v>
      </x:c>
      <x:c r="D154" s="20" t="n">
        <x:f>Z144</x:f>
        <x:v>241.35592299217947</x:v>
      </x:c>
      <x:c r="E154" s="20" t="n">
        <x:f>AA144</x:f>
        <x:v>0</x:v>
      </x:c>
      <x:c r="F154" s="24" t="n">
        <x:f>'Расчет'!F64*'Допущения'!F26</x:f>
        <x:v>328.8397614144854</x:v>
      </x:c>
      <x:c r="G154" s="20" t="n">
        <x:f>D154+F154</x:f>
        <x:v>570.1956844066649</x:v>
      </x:c>
      <x:c r="H154" s="20" t="n">
        <x:f>E154</x:f>
        <x:v>0</x:v>
      </x:c>
      <x:c r="I154" s="20" t="n">
        <x:f>MAX(0,G154-H154)</x:f>
        <x:v>570.1956844066649</x:v>
      </x:c>
      <x:c r="J154" s="38" t="n">
        <x:f>'Допущения'!F30</x:f>
        <x:v>0.0425</x:v>
      </x:c>
      <x:c r="K154" s="39" t="n">
        <x:f>IF(I154-(0)&gt;0.000000001,J154,0)</x:f>
        <x:v>0.0425</x:v>
      </x:c>
      <x:c r="L154" s="24" t="n">
        <x:f>IF(SUM(K$146:K$155)&gt;0,MIN(MAX(0,I154-(0)),MAX(0,'Расчет'!F73-(0))*K154/SUM(K$146:K$155)),0)</x:f>
        <x:v>41.68561553899715</x:v>
      </x:c>
      <x:c r="M154" s="20" t="n">
        <x:f>IF(I154-(L154)&gt;0.000000001,J154,0)</x:f>
        <x:v>0.0425</x:v>
      </x:c>
      <x:c r="N154" s="24" t="n">
        <x:f>IF(SUM(M$146:M$155)&gt;0,MIN(MAX(0,I154-(L154)),MAX(0,'Расчет'!F73-(SUM(L146:L155)))*M154/SUM(M$146:M$155)),0)</x:f>
        <x:v>1.6809490985548423</x:v>
      </x:c>
      <x:c r="O154" s="20" t="n">
        <x:f>IF(I154-(L154+N154)&gt;0.000000001,J154,0)</x:f>
        <x:v>0.0425</x:v>
      </x:c>
      <x:c r="P154" s="24" t="n">
        <x:f>IF(SUM(O$146:O$155)&gt;0,MIN(MAX(0,I154-(L154+N154)),MAX(0,'Расчет'!F73-(SUM(L146:L155)+SUM(N146:N155)))*O154/SUM(O$146:O$155)),0)</x:f>
        <x:v>0</x:v>
      </x:c>
      <x:c r="Q154" s="20" t="n">
        <x:f>IF(I154-(L154+N154+P154)&gt;0.000000001,J154,0)</x:f>
        <x:v>0.0425</x:v>
      </x:c>
      <x:c r="R154" s="24" t="n">
        <x:f>IF(SUM(Q$146:Q$155)&gt;0,MIN(MAX(0,I154-(L154+N154+P154)),MAX(0,'Расчет'!F73-(SUM(L146:L155)+SUM(N146:N155)+SUM(P146:P155)))*Q154/SUM(Q$146:Q$155)),0)</x:f>
        <x:v>0</x:v>
      </x:c>
      <x:c r="S154" s="20" t="n">
        <x:f>IF(I154-(L154+N154+P154+R154)&gt;0.000000001,J154,0)</x:f>
        <x:v>0.0425</x:v>
      </x:c>
      <x:c r="T154" s="24" t="n">
        <x:f>IF(SUM(S$146:S$155)&gt;0,MIN(MAX(0,I154-(L154+N154+P154+R154)),MAX(0,'Расчет'!F73-(SUM(L146:L155)+SUM(N146:N155)+SUM(P146:P155)+SUM(R146:R155)))*S154/SUM(S$146:S$155)),0)</x:f>
        <x:v>0</x:v>
      </x:c>
      <x:c r="U154" s="20" t="n">
        <x:f>SUM(L154,N154,P154,R154,T154)</x:f>
        <x:v>43.36656463755199</x:v>
      </x:c>
      <x:c r="V154" s="20" t="n">
        <x:f>0</x:f>
        <x:v>0</x:v>
      </x:c>
      <x:c r="W154" s="20" t="n">
        <x:f>0</x:f>
        <x:v>0</x:v>
      </x:c>
      <x:c r="X154" s="20" t="n">
        <x:f>G154</x:f>
        <x:v>570.1956844066649</x:v>
      </x:c>
      <x:c r="Y154" s="20" t="n">
        <x:f>H154+U154</x:f>
        <x:v>43.36656463755199</x:v>
      </x:c>
      <x:c r="Z154" s="20" t="n">
        <x:f>G154-V154</x:f>
        <x:v>570.1956844066649</x:v>
      </x:c>
      <x:c r="AA154" s="20" t="n">
        <x:f>Y154-W154</x:f>
        <x:v>43.36656463755199</x:v>
      </x:c>
      <x:c r="AB154" s="20" t="n">
        <x:f>Z154-AA154</x:f>
        <x:v>526.8291197691129</x:v>
      </x:c>
    </x:row>
    <x:row r="155" ht="21" customHeight="1">
      <x:c r="A155" s="2" t="str">
        <x:v>Элитный</x:v>
      </x:c>
      <x:c r="B155" s="12" t="n">
        <x:v>2030</x:v>
      </x:c>
      <x:c r="C155" s="12" t="n">
        <x:v>2035</x:v>
      </x:c>
      <x:c r="D155" s="20" t="n">
        <x:f>Z145</x:f>
        <x:v>0</x:v>
      </x:c>
      <x:c r="E155" s="20" t="n">
        <x:f>AA145</x:f>
        <x:v>0</x:v>
      </x:c>
      <x:c r="F155" s="24" t="n">
        <x:f>'Расчет'!F64*'Допущения'!G26</x:f>
        <x:v>249.6860161387937</x:v>
      </x:c>
      <x:c r="G155" s="20" t="n">
        <x:f>D155+F155</x:f>
        <x:v>249.6860161387937</x:v>
      </x:c>
      <x:c r="H155" s="20" t="n">
        <x:f>E155</x:f>
        <x:v>0</x:v>
      </x:c>
      <x:c r="I155" s="20" t="n">
        <x:f>MAX(0,G155-H155)</x:f>
        <x:v>249.6860161387937</x:v>
      </x:c>
      <x:c r="J155" s="39" t="n">
        <x:f>0</x:f>
        <x:v>0</x:v>
      </x:c>
      <x:c r="K155" s="39" t="n">
        <x:f>IF(I155-(0)&gt;0.000000001,J155,0)</x:f>
        <x:v>0</x:v>
      </x:c>
      <x:c r="L155" s="24" t="n">
        <x:f>IF(SUM(K$146:K$155)&gt;0,MIN(MAX(0,I155-(0)),MAX(0,'Расчет'!F73-(0))*K155/SUM(K$146:K$155)),0)</x:f>
        <x:v>0</x:v>
      </x:c>
      <x:c r="M155" s="20" t="n">
        <x:f>IF(I155-(L155)&gt;0.000000001,J155,0)</x:f>
        <x:v>0</x:v>
      </x:c>
      <x:c r="N155" s="24" t="n">
        <x:f>IF(SUM(M$146:M$155)&gt;0,MIN(MAX(0,I155-(L155)),MAX(0,'Расчет'!F73-(SUM(L146:L155)))*M155/SUM(M$146:M$155)),0)</x:f>
        <x:v>0</x:v>
      </x:c>
      <x:c r="O155" s="20" t="n">
        <x:f>IF(I155-(L155+N155)&gt;0.000000001,J155,0)</x:f>
        <x:v>0</x:v>
      </x:c>
      <x:c r="P155" s="24" t="n">
        <x:f>IF(SUM(O$146:O$155)&gt;0,MIN(MAX(0,I155-(L155+N155)),MAX(0,'Расчет'!F73-(SUM(L146:L155)+SUM(N146:N155)))*O155/SUM(O$146:O$155)),0)</x:f>
        <x:v>0</x:v>
      </x:c>
      <x:c r="Q155" s="20" t="n">
        <x:f>IF(I155-(L155+N155+P155)&gt;0.000000001,J155,0)</x:f>
        <x:v>0</x:v>
      </x:c>
      <x:c r="R155" s="24" t="n">
        <x:f>IF(SUM(Q$146:Q$155)&gt;0,MIN(MAX(0,I155-(L155+N155+P155)),MAX(0,'Расчет'!F73-(SUM(L146:L155)+SUM(N146:N155)+SUM(P146:P155)))*Q155/SUM(Q$146:Q$155)),0)</x:f>
        <x:v>0</x:v>
      </x:c>
      <x:c r="S155" s="20" t="n">
        <x:f>IF(I155-(L155+N155+P155+R155)&gt;0.000000001,J155,0)</x:f>
        <x:v>0</x:v>
      </x:c>
      <x:c r="T155" s="24" t="n">
        <x:f>IF(SUM(S$146:S$155)&gt;0,MIN(MAX(0,I155-(L155+N155+P155+R155)),MAX(0,'Расчет'!F73-(SUM(L146:L155)+SUM(N146:N155)+SUM(P146:P155)+SUM(R146:R155)))*S155/SUM(S$146:S$155)),0)</x:f>
        <x:v>0</x:v>
      </x:c>
      <x:c r="U155" s="20" t="n">
        <x:f>SUM(L155,N155,P155,R155,T155)</x:f>
        <x:v>0</x:v>
      </x:c>
      <x:c r="V155" s="20" t="n">
        <x:f>0</x:f>
        <x:v>0</x:v>
      </x:c>
      <x:c r="W155" s="20" t="n">
        <x:f>0</x:f>
        <x:v>0</x:v>
      </x:c>
      <x:c r="X155" s="20" t="n">
        <x:f>G155</x:f>
        <x:v>249.6860161387937</x:v>
      </x:c>
      <x:c r="Y155" s="20" t="n">
        <x:f>H155+U155</x:f>
        <x:v>0</x:v>
      </x:c>
      <x:c r="Z155" s="20" t="n">
        <x:f>G155-V155</x:f>
        <x:v>249.6860161387937</x:v>
      </x:c>
      <x:c r="AA155" s="20" t="n">
        <x:f>Y155-W155</x:f>
        <x:v>0</x:v>
      </x:c>
      <x:c r="AB155" s="20" t="n">
        <x:f>Z155-AA155</x:f>
        <x:v>249.6860161387937</x:v>
      </x:c>
    </x:row>
    <x:row r="156" ht="21" customHeight="1">
      <x:c r="A156" s="2"/>
      <x:c r="B156" s="3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3"/>
      <x:c r="Q156" s="3"/>
      <x:c r="R156" s="3"/>
      <x:c r="S156" s="3"/>
      <x:c r="T156" s="3"/>
      <x:c r="U156" s="3"/>
      <x:c r="V156" s="3"/>
      <x:c r="W156" s="3"/>
      <x:c r="X156" s="3"/>
      <x:c r="Y156" s="3"/>
      <x:c r="Z156" s="3"/>
      <x:c r="AA156" s="3"/>
      <x:c r="AB156" s="3"/>
    </x:row>
    <x:row r="157" ht="21" customHeight="1">
      <x:c r="A157" s="2"/>
      <x:c r="B157" s="3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3"/>
      <x:c r="Q157" s="3"/>
      <x:c r="R157" s="3"/>
      <x:c r="S157" s="3"/>
      <x:c r="T157" s="3"/>
      <x:c r="U157" s="3"/>
      <x:c r="V157" s="3"/>
      <x:c r="W157" s="3"/>
      <x:c r="X157" s="3"/>
      <x:c r="Y157" s="3"/>
      <x:c r="Z157" s="3"/>
      <x:c r="AA157" s="3"/>
      <x:c r="AB157" s="3"/>
    </x:row>
    <x:row r="158" ht="21" customHeight="1">
      <x:c r="A158" s="2"/>
      <x:c r="B158" s="3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3"/>
      <x:c r="Q158" s="3"/>
      <x:c r="R158" s="3"/>
      <x:c r="S158" s="3"/>
      <x:c r="T158" s="3"/>
      <x:c r="U158" s="3"/>
      <x:c r="V158" s="3"/>
      <x:c r="W158" s="3"/>
      <x:c r="X158" s="3"/>
      <x:c r="Y158" s="3"/>
      <x:c r="Z158" s="3"/>
      <x:c r="AA158" s="3"/>
      <x:c r="AB158" s="3"/>
    </x:row>
    <x:row r="159" ht="21" customHeight="1">
      <x:c r="A159" s="2"/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3"/>
      <x:c r="Q159" s="3"/>
      <x:c r="R159" s="3"/>
      <x:c r="S159" s="3"/>
      <x:c r="T159" s="3"/>
      <x:c r="U159" s="3"/>
      <x:c r="V159" s="3"/>
      <x:c r="W159" s="3"/>
      <x:c r="X159" s="3"/>
      <x:c r="Y159" s="3"/>
      <x:c r="Z159" s="3"/>
      <x:c r="AA159" s="3"/>
      <x:c r="AB159" s="3"/>
    </x:row>
    <x:row r="160" ht="21" customHeight="1">
      <x:c r="A160" s="2"/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3"/>
      <x:c r="Q160" s="3"/>
      <x:c r="R160" s="3"/>
      <x:c r="S160" s="3"/>
      <x:c r="T160" s="3"/>
      <x:c r="U160" s="3"/>
      <x:c r="V160" s="3"/>
      <x:c r="W160" s="3"/>
      <x:c r="X160" s="3"/>
      <x:c r="Y160" s="3"/>
      <x:c r="Z160" s="3"/>
      <x:c r="AA160" s="3"/>
      <x:c r="AB160" s="3"/>
    </x:row>
    <x:row r="161" ht="21" customHeight="1">
      <x:c r="A161" s="2"/>
      <x:c r="B161" s="3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3"/>
      <x:c r="Q161" s="3"/>
      <x:c r="R161" s="3"/>
      <x:c r="S161" s="3"/>
      <x:c r="T161" s="3"/>
      <x:c r="U161" s="3"/>
      <x:c r="V161" s="3"/>
      <x:c r="W161" s="3"/>
      <x:c r="X161" s="3"/>
      <x:c r="Y161" s="3"/>
      <x:c r="Z161" s="3"/>
      <x:c r="AA161" s="3"/>
      <x:c r="AB161" s="3"/>
    </x:row>
    <x:row r="162" ht="21" customHeight="1">
      <x:c r="A162" s="2"/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3"/>
      <x:c r="Q162" s="3"/>
      <x:c r="R162" s="3"/>
      <x:c r="S162" s="3"/>
      <x:c r="T162" s="3"/>
      <x:c r="U162" s="3"/>
      <x:c r="V162" s="3"/>
      <x:c r="W162" s="3"/>
      <x:c r="X162" s="3"/>
      <x:c r="Y162" s="3"/>
      <x:c r="Z162" s="3"/>
      <x:c r="AA162" s="3"/>
      <x:c r="AB162" s="3"/>
    </x:row>
    <x:row r="163" ht="21" customHeight="1">
      <x:c r="A163" s="2"/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3"/>
      <x:c r="Q163" s="3"/>
      <x:c r="R163" s="3"/>
      <x:c r="S163" s="3"/>
      <x:c r="T163" s="3"/>
      <x:c r="U163" s="3"/>
      <x:c r="V163" s="3"/>
      <x:c r="W163" s="3"/>
      <x:c r="X163" s="3"/>
      <x:c r="Y163" s="3"/>
      <x:c r="Z163" s="3"/>
      <x:c r="AA163" s="3"/>
      <x:c r="AB163" s="3"/>
    </x:row>
    <x:row r="164" ht="21" customHeight="1">
      <x:c r="A164" s="2"/>
      <x:c r="B164" s="3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3"/>
      <x:c r="Q164" s="3"/>
      <x:c r="R164" s="3"/>
      <x:c r="S164" s="3"/>
      <x:c r="T164" s="3"/>
      <x:c r="U164" s="3"/>
      <x:c r="V164" s="3"/>
      <x:c r="W164" s="3"/>
      <x:c r="X164" s="3"/>
      <x:c r="Y164" s="3"/>
      <x:c r="Z164" s="3"/>
      <x:c r="AA164" s="3"/>
      <x:c r="AB164" s="3"/>
    </x:row>
    <x:row r="165" ht="21" customHeight="1">
      <x:c r="A165" s="2"/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3"/>
      <x:c r="Q165" s="3"/>
      <x:c r="R165" s="3"/>
      <x:c r="S165" s="3"/>
      <x:c r="T165" s="3"/>
      <x:c r="U165" s="3"/>
      <x:c r="V165" s="3"/>
      <x:c r="W165" s="3"/>
      <x:c r="X165" s="3"/>
      <x:c r="Y165" s="3"/>
      <x:c r="Z165" s="3"/>
      <x:c r="AA165" s="3"/>
      <x:c r="AB165" s="3"/>
    </x:row>
    <x:row r="166" ht="21" customHeight="1">
      <x:c r="A166" s="2"/>
      <x:c r="B166" s="3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3"/>
      <x:c r="Q166" s="3"/>
      <x:c r="R166" s="3"/>
      <x:c r="S166" s="3"/>
      <x:c r="T166" s="3"/>
      <x:c r="U166" s="3"/>
      <x:c r="V166" s="3"/>
      <x:c r="W166" s="3"/>
      <x:c r="X166" s="3"/>
      <x:c r="Y166" s="3"/>
      <x:c r="Z166" s="3"/>
      <x:c r="AA166" s="3"/>
      <x:c r="AB166" s="3"/>
    </x:row>
    <x:row r="167" ht="21" customHeight="1">
      <x:c r="A167" s="2"/>
      <x:c r="B167" s="3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3"/>
      <x:c r="Q167" s="3"/>
      <x:c r="R167" s="3"/>
      <x:c r="S167" s="3"/>
      <x:c r="T167" s="3"/>
      <x:c r="U167" s="3"/>
      <x:c r="V167" s="3"/>
      <x:c r="W167" s="3"/>
      <x:c r="X167" s="3"/>
      <x:c r="Y167" s="3"/>
      <x:c r="Z167" s="3"/>
      <x:c r="AA167" s="3"/>
      <x:c r="AB167" s="3"/>
    </x:row>
    <x:row r="168" ht="21" customHeight="1">
      <x:c r="A168" s="2"/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3"/>
      <x:c r="Q168" s="3"/>
      <x:c r="R168" s="3"/>
      <x:c r="S168" s="3"/>
      <x:c r="T168" s="3"/>
      <x:c r="U168" s="3"/>
      <x:c r="V168" s="3"/>
      <x:c r="W168" s="3"/>
      <x:c r="X168" s="3"/>
      <x:c r="Y168" s="3"/>
      <x:c r="Z168" s="3"/>
      <x:c r="AA168" s="3"/>
      <x:c r="AB168" s="3"/>
    </x:row>
    <x:row r="169" ht="21" customHeight="1">
      <x:c r="A169" s="2"/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3"/>
      <x:c r="Q169" s="3"/>
      <x:c r="R169" s="3"/>
      <x:c r="S169" s="3"/>
      <x:c r="T169" s="3"/>
      <x:c r="U169" s="3"/>
      <x:c r="V169" s="3"/>
      <x:c r="W169" s="3"/>
      <x:c r="X169" s="3"/>
      <x:c r="Y169" s="3"/>
      <x:c r="Z169" s="3"/>
      <x:c r="AA169" s="3"/>
      <x:c r="AB169" s="3"/>
    </x:row>
    <x:row r="170" ht="21" customHeight="1">
      <x:c r="A170" s="2"/>
      <x:c r="B170" s="3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3"/>
      <x:c r="Q170" s="3"/>
      <x:c r="R170" s="3"/>
      <x:c r="S170" s="3"/>
      <x:c r="T170" s="3"/>
      <x:c r="U170" s="3"/>
      <x:c r="V170" s="3"/>
      <x:c r="W170" s="3"/>
      <x:c r="X170" s="3"/>
      <x:c r="Y170" s="3"/>
      <x:c r="Z170" s="3"/>
      <x:c r="AA170" s="3"/>
      <x:c r="AB170" s="3"/>
    </x:row>
    <x:row r="171" ht="21" customHeight="1">
      <x:c r="A171" s="2"/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3"/>
      <x:c r="Q171" s="3"/>
      <x:c r="R171" s="3"/>
      <x:c r="S171" s="3"/>
      <x:c r="T171" s="3"/>
      <x:c r="U171" s="3"/>
      <x:c r="V171" s="3"/>
      <x:c r="W171" s="3"/>
      <x:c r="X171" s="3"/>
      <x:c r="Y171" s="3"/>
      <x:c r="Z171" s="3"/>
      <x:c r="AA171" s="3"/>
      <x:c r="AB171" s="3"/>
    </x:row>
    <x:row r="172" ht="21" customHeight="1">
      <x:c r="A172" s="2"/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3"/>
      <x:c r="Q172" s="3"/>
      <x:c r="R172" s="3"/>
      <x:c r="S172" s="3"/>
      <x:c r="T172" s="3"/>
      <x:c r="U172" s="3"/>
      <x:c r="V172" s="3"/>
      <x:c r="W172" s="3"/>
      <x:c r="X172" s="3"/>
      <x:c r="Y172" s="3"/>
      <x:c r="Z172" s="3"/>
      <x:c r="AA172" s="3"/>
      <x:c r="AB172" s="3"/>
    </x:row>
    <x:row r="173" ht="21" customHeight="1">
      <x:c r="A173" s="2"/>
      <x:c r="B173" s="3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3"/>
      <x:c r="Q173" s="3"/>
      <x:c r="R173" s="3"/>
      <x:c r="S173" s="3"/>
      <x:c r="T173" s="3"/>
      <x:c r="U173" s="3"/>
      <x:c r="V173" s="3"/>
      <x:c r="W173" s="3"/>
      <x:c r="X173" s="3"/>
      <x:c r="Y173" s="3"/>
      <x:c r="Z173" s="3"/>
      <x:c r="AA173" s="3"/>
      <x:c r="AB173" s="3"/>
    </x:row>
    <x:row r="174" ht="21" customHeight="1">
      <x:c r="A174" s="2"/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3"/>
      <x:c r="Q174" s="3"/>
      <x:c r="R174" s="3"/>
      <x:c r="S174" s="3"/>
      <x:c r="T174" s="3"/>
      <x:c r="U174" s="3"/>
      <x:c r="V174" s="3"/>
      <x:c r="W174" s="3"/>
      <x:c r="X174" s="3"/>
      <x:c r="Y174" s="3"/>
      <x:c r="Z174" s="3"/>
      <x:c r="AA174" s="3"/>
      <x:c r="AB174" s="3"/>
    </x:row>
    <x:row r="175" ht="21" customHeight="1">
      <x:c r="A175" s="2"/>
      <x:c r="B175" s="3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3"/>
      <x:c r="Q175" s="3"/>
      <x:c r="R175" s="3"/>
      <x:c r="S175" s="3"/>
      <x:c r="T175" s="3"/>
      <x:c r="U175" s="3"/>
      <x:c r="V175" s="3"/>
      <x:c r="W175" s="3"/>
      <x:c r="X175" s="3"/>
      <x:c r="Y175" s="3"/>
      <x:c r="Z175" s="3"/>
      <x:c r="AA175" s="3"/>
      <x:c r="AB175" s="3"/>
    </x:row>
    <x:row r="176" ht="21" customHeight="1">
      <x:c r="A176" s="2"/>
      <x:c r="B176" s="3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3"/>
      <x:c r="Q176" s="3"/>
      <x:c r="R176" s="3"/>
      <x:c r="S176" s="3"/>
      <x:c r="T176" s="3"/>
      <x:c r="U176" s="3"/>
      <x:c r="V176" s="3"/>
      <x:c r="W176" s="3"/>
      <x:c r="X176" s="3"/>
      <x:c r="Y176" s="3"/>
      <x:c r="Z176" s="3"/>
      <x:c r="AA176" s="3"/>
      <x:c r="AB176" s="3"/>
    </x:row>
    <x:row r="177" ht="21" customHeight="1">
      <x:c r="A177" s="2"/>
      <x:c r="B177" s="3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3"/>
      <x:c r="Q177" s="3"/>
      <x:c r="R177" s="3"/>
      <x:c r="S177" s="3"/>
      <x:c r="T177" s="3"/>
      <x:c r="U177" s="3"/>
      <x:c r="V177" s="3"/>
      <x:c r="W177" s="3"/>
      <x:c r="X177" s="3"/>
      <x:c r="Y177" s="3"/>
      <x:c r="Z177" s="3"/>
      <x:c r="AA177" s="3"/>
      <x:c r="AB177" s="3"/>
    </x:row>
    <x:row r="178" ht="21" customHeight="1">
      <x:c r="A178" s="2"/>
      <x:c r="B178" s="3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3"/>
      <x:c r="Q178" s="3"/>
      <x:c r="R178" s="3"/>
      <x:c r="S178" s="3"/>
      <x:c r="T178" s="3"/>
      <x:c r="U178" s="3"/>
      <x:c r="V178" s="3"/>
      <x:c r="W178" s="3"/>
      <x:c r="X178" s="3"/>
      <x:c r="Y178" s="3"/>
      <x:c r="Z178" s="3"/>
      <x:c r="AA178" s="3"/>
      <x:c r="AB178" s="3"/>
    </x:row>
    <x:row r="179" ht="21" customHeight="1">
      <x:c r="A179" s="2"/>
      <x:c r="B179" s="3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3"/>
      <x:c r="Q179" s="3"/>
      <x:c r="R179" s="3"/>
      <x:c r="S179" s="3"/>
      <x:c r="T179" s="3"/>
      <x:c r="U179" s="3"/>
      <x:c r="V179" s="3"/>
      <x:c r="W179" s="3"/>
      <x:c r="X179" s="3"/>
      <x:c r="Y179" s="3"/>
      <x:c r="Z179" s="3"/>
      <x:c r="AA179" s="3"/>
      <x:c r="AB179" s="3"/>
    </x:row>
    <x:row r="180" ht="21" customHeight="1">
      <x:c r="A180" s="2"/>
      <x:c r="B180" s="3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3"/>
      <x:c r="Q180" s="3"/>
      <x:c r="R180" s="3"/>
      <x:c r="S180" s="3"/>
      <x:c r="T180" s="3"/>
      <x:c r="U180" s="3"/>
      <x:c r="V180" s="3"/>
      <x:c r="W180" s="3"/>
      <x:c r="X180" s="3"/>
      <x:c r="Y180" s="3"/>
      <x:c r="Z180" s="3"/>
      <x:c r="AA180" s="3"/>
      <x:c r="AB180" s="3"/>
    </x:row>
  </x:sheetData>
  <x:mergeCells>
    <x:mergeCell ref="A1:AB1"/>
    <x:mergeCell ref="A3:N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16354A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3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32" customHeight="1">
      <x:c r="A1" s="6" t="str">
        <x:v>Исходные данные • Москва, срез 23.10.2026</x:v>
      </x:c>
      <x:c r="B1" s="7"/>
      <x:c r="C1" s="7"/>
      <x:c r="D1" s="7"/>
      <x:c r="E1" s="7"/>
      <x:c r="F1" s="7"/>
      <x:c r="G1" s="7"/>
      <x:c r="H1" s="7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</x:row>
    <x:row r="2" ht="21" customHeight="1">
      <x:c r="A2" s="2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</x:row>
    <x:row r="3" ht="36" customHeight="1">
      <x:c r="A3" s="10" t="str">
        <x:v>Источник: 2026-10-23-project_data(1).xlsx. Только Москва, статус «Строится». Продано — поле «Площадь проданных квартир по проекту».</x:v>
      </x:c>
      <x:c r="B3" s="11"/>
      <x:c r="C3" s="11"/>
      <x:c r="D3" s="11"/>
      <x:c r="E3" s="11"/>
      <x:c r="F3" s="11"/>
      <x:c r="G3" s="11"/>
      <x:c r="H3" s="11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  <x:c r="AA3" s="3"/>
      <x:c r="AB3" s="3"/>
    </x:row>
    <x:row r="4" ht="21" customHeight="1">
      <x:c r="A4" s="2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</x:row>
    <x:row r="5" ht="42" customHeight="1">
      <x:c r="A5" s="18" t="str">
        <x:v>Класс</x:v>
      </x:c>
      <x:c r="B5" s="19" t="str">
        <x:v>Год ввода</x:v>
      </x:c>
      <x:c r="C5" s="19" t="str">
        <x:v>Строится, тыс. м²</x:v>
      </x:c>
      <x:c r="D5" s="19" t="str">
        <x:v>Продано, тыс. м²</x:v>
      </x:c>
      <x:c r="E5" s="19"/>
      <x:c r="F5" s="19"/>
      <x:c r="G5" s="19"/>
      <x:c r="H5" s="19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  <x:c r="AA5" s="3"/>
      <x:c r="AB5" s="3"/>
    </x:row>
    <x:row r="6" ht="21" customHeight="1">
      <x:c r="A6" s="2" t="str">
        <x:v>Эконом/комфорт</x:v>
      </x:c>
      <x:c r="B6" s="12" t="n">
        <x:v>2026</x:v>
      </x:c>
      <x:c r="C6" s="3" t="n">
        <x:v>1682.77032</x:v>
      </x:c>
      <x:c r="D6" s="3" t="n">
        <x:v>1316.42227</x:v>
      </x:c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  <x:c r="AA6" s="3"/>
      <x:c r="AB6" s="3"/>
    </x:row>
    <x:row r="7" ht="21" customHeight="1">
      <x:c r="A7" s="2" t="str">
        <x:v>Эконом/комфорт</x:v>
      </x:c>
      <x:c r="B7" s="12" t="n">
        <x:v>2027</x:v>
      </x:c>
      <x:c r="C7" s="3" t="n">
        <x:v>2071.6624700000007</x:v>
      </x:c>
      <x:c r="D7" s="3" t="n">
        <x:v>1389.0708600000005</x:v>
      </x:c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  <x:c r="AA7" s="3"/>
      <x:c r="AB7" s="3"/>
    </x:row>
    <x:row r="8" ht="21" customHeight="1">
      <x:c r="A8" s="2" t="str">
        <x:v>Эконом/комфорт</x:v>
      </x:c>
      <x:c r="B8" s="12" t="n">
        <x:v>2028</x:v>
      </x:c>
      <x:c r="C8" s="3" t="n">
        <x:v>1529.84216</x:v>
      </x:c>
      <x:c r="D8" s="3" t="n">
        <x:v>659.3725700000001</x:v>
      </x:c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  <x:c r="AA8" s="3"/>
      <x:c r="AB8" s="3"/>
    </x:row>
    <x:row r="9" ht="21" customHeight="1">
      <x:c r="A9" s="2" t="str">
        <x:v>Эконом/комфорт</x:v>
      </x:c>
      <x:c r="B9" s="12" t="n">
        <x:v>2029</x:v>
      </x:c>
      <x:c r="C9" s="3" t="n">
        <x:v>479.97763</x:v>
      </x:c>
      <x:c r="D9" s="3" t="n">
        <x:v>106.12064</x:v>
      </x:c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  <x:c r="V9" s="3"/>
      <x:c r="W9" s="3"/>
      <x:c r="X9" s="3"/>
      <x:c r="Y9" s="3"/>
      <x:c r="Z9" s="3"/>
      <x:c r="AA9" s="3"/>
      <x:c r="AB9" s="3"/>
    </x:row>
    <x:row r="10" ht="21" customHeight="1">
      <x:c r="A10" s="2" t="str">
        <x:v>Эконом/комфорт</x:v>
      </x:c>
      <x:c r="B10" s="12" t="n">
        <x:v>2030</x:v>
      </x:c>
      <x:c r="C10" s="3" t="n">
        <x:v>65.0329</x:v>
      </x:c>
      <x:c r="D10" s="3" t="n">
        <x:v>0.0585</x:v>
      </x:c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  <x:c r="AA10" s="3"/>
      <x:c r="AB10" s="3"/>
    </x:row>
    <x:row r="11" ht="21" customHeight="1">
      <x:c r="A11" s="2" t="str">
        <x:v>Эконом/комфорт</x:v>
      </x:c>
      <x:c r="B11" s="12" t="n">
        <x:v>2031</x:v>
      </x:c>
      <x:c r="C11" s="3" t="n">
        <x:v>0</x:v>
      </x:c>
      <x:c r="D11" s="3" t="n">
        <x:v>0</x:v>
      </x:c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  <x:c r="V11" s="3"/>
      <x:c r="W11" s="3"/>
      <x:c r="X11" s="3"/>
      <x:c r="Y11" s="3"/>
      <x:c r="Z11" s="3"/>
      <x:c r="AA11" s="3"/>
      <x:c r="AB11" s="3"/>
    </x:row>
    <x:row r="12" ht="21" customHeight="1">
      <x:c r="A12" s="2" t="str">
        <x:v>Эконом/комфорт</x:v>
      </x:c>
      <x:c r="B12" s="12" t="n">
        <x:v>2032</x:v>
      </x:c>
      <x:c r="C12" s="3" t="n">
        <x:v>0</x:v>
      </x:c>
      <x:c r="D12" s="3" t="n">
        <x:v>0</x:v>
      </x:c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"/>
      <x:c r="T12" s="3"/>
      <x:c r="U12" s="3"/>
      <x:c r="V12" s="3"/>
      <x:c r="W12" s="3"/>
      <x:c r="X12" s="3"/>
      <x:c r="Y12" s="3"/>
      <x:c r="Z12" s="3"/>
      <x:c r="AA12" s="3"/>
      <x:c r="AB12" s="3"/>
    </x:row>
    <x:row r="13" ht="21" customHeight="1">
      <x:c r="A13" s="2" t="str">
        <x:v>Эконом/комфорт</x:v>
      </x:c>
      <x:c r="B13" s="12" t="n">
        <x:v>2033</x:v>
      </x:c>
      <x:c r="C13" s="3" t="n">
        <x:v>0</x:v>
      </x:c>
      <x:c r="D13" s="3" t="n">
        <x:v>0</x:v>
      </x:c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  <x:c r="AA13" s="3"/>
      <x:c r="AB13" s="3"/>
    </x:row>
    <x:row r="14" ht="21" customHeight="1">
      <x:c r="A14" s="2" t="str">
        <x:v>Эконом/комфорт</x:v>
      </x:c>
      <x:c r="B14" s="12" t="n">
        <x:v>2034</x:v>
      </x:c>
      <x:c r="C14" s="3" t="n">
        <x:v>0</x:v>
      </x:c>
      <x:c r="D14" s="3" t="n">
        <x:v>0</x:v>
      </x:c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  <x:c r="AA14" s="3"/>
      <x:c r="AB14" s="3"/>
    </x:row>
    <x:row r="15" ht="21" customHeight="1">
      <x:c r="A15" s="2" t="str">
        <x:v>Эконом/комфорт</x:v>
      </x:c>
      <x:c r="B15" s="12" t="n">
        <x:v>2035</x:v>
      </x:c>
      <x:c r="C15" s="3" t="n">
        <x:v>0</x:v>
      </x:c>
      <x:c r="D15" s="3" t="n">
        <x:v>0</x:v>
      </x:c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  <x:c r="AA15" s="3"/>
      <x:c r="AB15" s="3"/>
    </x:row>
    <x:row r="16" ht="21" customHeight="1">
      <x:c r="A16" s="2" t="str">
        <x:v>Бизнес</x:v>
      </x:c>
      <x:c r="B16" s="12" t="n">
        <x:v>2026</x:v>
      </x:c>
      <x:c r="C16" s="3" t="n">
        <x:v>735.18413</x:v>
      </x:c>
      <x:c r="D16" s="3" t="n">
        <x:v>501.17726000000005</x:v>
      </x:c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  <x:c r="AA16" s="3"/>
      <x:c r="AB16" s="3"/>
    </x:row>
    <x:row r="17" ht="21" customHeight="1">
      <x:c r="A17" s="2" t="str">
        <x:v>Бизнес</x:v>
      </x:c>
      <x:c r="B17" s="12" t="n">
        <x:v>2027</x:v>
      </x:c>
      <x:c r="C17" s="3" t="n">
        <x:v>2297.0414400000004</x:v>
      </x:c>
      <x:c r="D17" s="3" t="n">
        <x:v>1413.69713</x:v>
      </x:c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  <x:c r="AA17" s="3"/>
      <x:c r="AB17" s="3"/>
    </x:row>
    <x:row r="18" ht="21" customHeight="1">
      <x:c r="A18" s="2" t="str">
        <x:v>Бизнес</x:v>
      </x:c>
      <x:c r="B18" s="12" t="n">
        <x:v>2028</x:v>
      </x:c>
      <x:c r="C18" s="3" t="n">
        <x:v>1488.5328499999998</x:v>
      </x:c>
      <x:c r="D18" s="3" t="n">
        <x:v>587.30182</x:v>
      </x:c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  <x:c r="AA18" s="3"/>
      <x:c r="AB18" s="3"/>
    </x:row>
    <x:row r="19" ht="21" customHeight="1">
      <x:c r="A19" s="2" t="str">
        <x:v>Бизнес</x:v>
      </x:c>
      <x:c r="B19" s="12" t="n">
        <x:v>2029</x:v>
      </x:c>
      <x:c r="C19" s="3" t="n">
        <x:v>1004.3920599999999</x:v>
      </x:c>
      <x:c r="D19" s="3" t="n">
        <x:v>223.50854999999999</x:v>
      </x:c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  <x:c r="AA19" s="3"/>
      <x:c r="AB19" s="3"/>
    </x:row>
    <x:row r="20" ht="21" customHeight="1">
      <x:c r="A20" s="2" t="str">
        <x:v>Бизнес</x:v>
      </x:c>
      <x:c r="B20" s="12" t="n">
        <x:v>2030</x:v>
      </x:c>
      <x:c r="C20" s="3" t="n">
        <x:v>234.38279999999997</x:v>
      </x:c>
      <x:c r="D20" s="3" t="n">
        <x:v>1.758</x:v>
      </x:c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  <x:c r="AA20" s="3"/>
      <x:c r="AB20" s="3"/>
    </x:row>
    <x:row r="21" ht="21" customHeight="1">
      <x:c r="A21" s="2" t="str">
        <x:v>Бизнес</x:v>
      </x:c>
      <x:c r="B21" s="12" t="n">
        <x:v>2031</x:v>
      </x:c>
      <x:c r="C21" s="3" t="n">
        <x:v>30.267799999999998</x:v>
      </x:c>
      <x:c r="D21" s="3" t="n">
        <x:v>0</x:v>
      </x:c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  <x:c r="AA21" s="3"/>
      <x:c r="AB21" s="3"/>
    </x:row>
    <x:row r="22" ht="21" customHeight="1">
      <x:c r="A22" s="2" t="str">
        <x:v>Бизнес</x:v>
      </x:c>
      <x:c r="B22" s="12" t="n">
        <x:v>2032</x:v>
      </x:c>
      <x:c r="C22" s="3" t="n">
        <x:v>0</x:v>
      </x:c>
      <x:c r="D22" s="3" t="n">
        <x:v>0</x:v>
      </x:c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  <x:c r="AA22" s="3"/>
      <x:c r="AB22" s="3"/>
    </x:row>
    <x:row r="23" ht="21" customHeight="1">
      <x:c r="A23" s="2" t="str">
        <x:v>Бизнес</x:v>
      </x:c>
      <x:c r="B23" s="12" t="n">
        <x:v>2033</x:v>
      </x:c>
      <x:c r="C23" s="3" t="n">
        <x:v>0</x:v>
      </x:c>
      <x:c r="D23" s="3" t="n">
        <x:v>0</x:v>
      </x:c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/>
      <x:c r="V23" s="3"/>
      <x:c r="W23" s="3"/>
      <x:c r="X23" s="3"/>
      <x:c r="Y23" s="3"/>
      <x:c r="Z23" s="3"/>
      <x:c r="AA23" s="3"/>
      <x:c r="AB23" s="3"/>
    </x:row>
    <x:row r="24" ht="21" customHeight="1">
      <x:c r="A24" s="2" t="str">
        <x:v>Бизнес</x:v>
      </x:c>
      <x:c r="B24" s="12" t="n">
        <x:v>2034</x:v>
      </x:c>
      <x:c r="C24" s="3" t="n">
        <x:v>0</x:v>
      </x:c>
      <x:c r="D24" s="3" t="n">
        <x:v>0</x:v>
      </x:c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/>
      <x:c r="V24" s="3"/>
      <x:c r="W24" s="3"/>
      <x:c r="X24" s="3"/>
      <x:c r="Y24" s="3"/>
      <x:c r="Z24" s="3"/>
      <x:c r="AA24" s="3"/>
      <x:c r="AB24" s="3"/>
    </x:row>
    <x:row r="25" ht="21" customHeight="1">
      <x:c r="A25" s="2" t="str">
        <x:v>Бизнес</x:v>
      </x:c>
      <x:c r="B25" s="12" t="n">
        <x:v>2035</x:v>
      </x:c>
      <x:c r="C25" s="3" t="n">
        <x:v>0</x:v>
      </x:c>
      <x:c r="D25" s="3" t="n">
        <x:v>0</x:v>
      </x:c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  <x:c r="W25" s="3"/>
      <x:c r="X25" s="3"/>
      <x:c r="Y25" s="3"/>
      <x:c r="Z25" s="3"/>
      <x:c r="AA25" s="3"/>
      <x:c r="AB25" s="3"/>
    </x:row>
    <x:row r="26" ht="21" customHeight="1">
      <x:c r="A26" s="2" t="str">
        <x:v>Элитный</x:v>
      </x:c>
      <x:c r="B26" s="12" t="n">
        <x:v>2026</x:v>
      </x:c>
      <x:c r="C26" s="3" t="n">
        <x:v>461.44370999999984</x:v>
      </x:c>
      <x:c r="D26" s="3" t="n">
        <x:v>290.16600000000005</x:v>
      </x:c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/>
      <x:c r="X26" s="3"/>
      <x:c r="Y26" s="3"/>
      <x:c r="Z26" s="3"/>
      <x:c r="AA26" s="3"/>
      <x:c r="AB26" s="3"/>
    </x:row>
    <x:row r="27" ht="21" customHeight="1">
      <x:c r="A27" s="2" t="str">
        <x:v>Элитный</x:v>
      </x:c>
      <x:c r="B27" s="12" t="n">
        <x:v>2027</x:v>
      </x:c>
      <x:c r="C27" s="3" t="n">
        <x:v>1548.4775599999998</x:v>
      </x:c>
      <x:c r="D27" s="3" t="n">
        <x:v>655.4794599999999</x:v>
      </x:c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  <x:c r="AA27" s="3"/>
      <x:c r="AB27" s="3"/>
    </x:row>
    <x:row r="28" ht="21" customHeight="1">
      <x:c r="A28" s="2" t="str">
        <x:v>Элитный</x:v>
      </x:c>
      <x:c r="B28" s="12" t="n">
        <x:v>2028</x:v>
      </x:c>
      <x:c r="C28" s="3" t="n">
        <x:v>791.38897</x:v>
      </x:c>
      <x:c r="D28" s="3" t="n">
        <x:v>247.53763000000004</x:v>
      </x:c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  <x:c r="AA28" s="3"/>
      <x:c r="AB28" s="3"/>
    </x:row>
    <x:row r="29" ht="21" customHeight="1">
      <x:c r="A29" s="2" t="str">
        <x:v>Элитный</x:v>
      </x:c>
      <x:c r="B29" s="12" t="n">
        <x:v>2029</x:v>
      </x:c>
      <x:c r="C29" s="3" t="n">
        <x:v>791.8074500000001</x:v>
      </x:c>
      <x:c r="D29" s="3" t="n">
        <x:v>78.22184999999998</x:v>
      </x:c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  <x:c r="AA29" s="3"/>
      <x:c r="AB29" s="3"/>
    </x:row>
    <x:row r="30" ht="21" customHeight="1">
      <x:c r="A30" s="2" t="str">
        <x:v>Элитный</x:v>
      </x:c>
      <x:c r="B30" s="12" t="n">
        <x:v>2030</x:v>
      </x:c>
      <x:c r="C30" s="3" t="n">
        <x:v>343.43388</x:v>
      </x:c>
      <x:c r="D30" s="3" t="n">
        <x:v>33.52392</x:v>
      </x:c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  <x:c r="AA30" s="3"/>
      <x:c r="AB30" s="3"/>
    </x:row>
    <x:row r="31" ht="21" customHeight="1">
      <x:c r="A31" s="2" t="str">
        <x:v>Элитный</x:v>
      </x:c>
      <x:c r="B31" s="12" t="n">
        <x:v>2031</x:v>
      </x:c>
      <x:c r="C31" s="3" t="n">
        <x:v>137.3416</x:v>
      </x:c>
      <x:c r="D31" s="3" t="n">
        <x:v>3.0899</x:v>
      </x:c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  <x:c r="AA31" s="3"/>
      <x:c r="AB31" s="3"/>
    </x:row>
    <x:row r="32" ht="21" customHeight="1">
      <x:c r="A32" s="2" t="str">
        <x:v>Элитный</x:v>
      </x:c>
      <x:c r="B32" s="12" t="n">
        <x:v>2032</x:v>
      </x:c>
      <x:c r="C32" s="3" t="n">
        <x:v>0</x:v>
      </x:c>
      <x:c r="D32" s="3" t="n">
        <x:v>0</x:v>
      </x:c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  <x:c r="AA32" s="3"/>
      <x:c r="AB32" s="3"/>
    </x:row>
    <x:row r="33" ht="21" customHeight="1">
      <x:c r="A33" s="2" t="str">
        <x:v>Элитный</x:v>
      </x:c>
      <x:c r="B33" s="12" t="n">
        <x:v>2033</x:v>
      </x:c>
      <x:c r="C33" s="3" t="n">
        <x:v>0</x:v>
      </x:c>
      <x:c r="D33" s="3" t="n">
        <x:v>0</x:v>
      </x:c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  <x:c r="AA33" s="3"/>
      <x:c r="AB33" s="3"/>
    </x:row>
    <x:row r="34" ht="21" customHeight="1">
      <x:c r="A34" s="2" t="str">
        <x:v>Элитный</x:v>
      </x:c>
      <x:c r="B34" s="12" t="n">
        <x:v>2034</x:v>
      </x:c>
      <x:c r="C34" s="3" t="n">
        <x:v>0</x:v>
      </x:c>
      <x:c r="D34" s="3" t="n">
        <x:v>0</x:v>
      </x:c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  <x:c r="AA34" s="3"/>
      <x:c r="AB34" s="3"/>
    </x:row>
    <x:row r="35" ht="21" customHeight="1">
      <x:c r="A35" s="2" t="str">
        <x:v>Элитный</x:v>
      </x:c>
      <x:c r="B35" s="12" t="n">
        <x:v>2035</x:v>
      </x:c>
      <x:c r="C35" s="3" t="n">
        <x:v>0</x:v>
      </x:c>
      <x:c r="D35" s="3" t="n">
        <x:v>0</x:v>
      </x:c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  <x:c r="AA35" s="3"/>
      <x:c r="AB35" s="3"/>
    </x:row>
    <x:row r="36" ht="21" customHeight="1">
      <x:c r="A36" s="2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  <x:c r="AA36" s="3"/>
      <x:c r="AB36" s="3"/>
    </x:row>
    <x:row r="37" ht="21" customHeight="1">
      <x:c r="A37" s="2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  <x:c r="AA37" s="3"/>
      <x:c r="AB37" s="3"/>
    </x:row>
    <x:row r="38" ht="42" customHeight="1">
      <x:c r="A38" s="18" t="str">
        <x:v>Класс</x:v>
      </x:c>
      <x:c r="B38" s="19" t="str">
        <x:v>Введено 2026 на срез</x:v>
      </x:c>
      <x:c r="C38" s="19" t="str">
        <x:v>Запущено 2026 на срез</x:v>
      </x:c>
      <x:c r="D38" s="19" t="str">
        <x:v>Продажи 9М2026</x:v>
      </x:c>
      <x:c r="E38" s="19" t="str">
        <x:v>Портфель 01.01.2026</x:v>
      </x:c>
      <x:c r="F38" s="19" t="str">
        <x:v>Распроданность 01.01</x:v>
      </x:c>
      <x:c r="G38" s="19" t="str">
        <x:v>Продажи 2025</x:v>
      </x:c>
      <x:c r="H38" s="19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  <x:c r="AA38" s="3"/>
      <x:c r="AB38" s="3"/>
    </x:row>
    <x:row r="39" ht="21" customHeight="1">
      <x:c r="A39" s="2" t="str">
        <x:v>Эконом/комфорт</x:v>
      </x:c>
      <x:c r="B39" s="3" t="n">
        <x:v>1692.3432799999998</x:v>
      </x:c>
      <x:c r="C39" s="3" t="n">
        <x:v>701.9852700000001</x:v>
      </x:c>
      <x:c r="D39" s="3" t="n">
        <x:v>919.5795</x:v>
      </x:c>
      <x:c r="E39" s="3" t="n">
        <x:v>7195</x:v>
      </x:c>
      <x:c r="F39" s="13" t="n">
        <x:v>0.58</x:v>
      </x:c>
      <x:c r="G39" s="3" t="n">
        <x:v>2069.95931</x:v>
      </x:c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  <x:c r="AA39" s="3"/>
      <x:c r="AB39" s="3"/>
    </x:row>
    <x:row r="40" ht="21" customHeight="1">
      <x:c r="A40" s="2" t="str">
        <x:v>Бизнес</x:v>
      </x:c>
      <x:c r="B40" s="3" t="n">
        <x:v>998.8828300000001</x:v>
      </x:c>
      <x:c r="C40" s="3" t="n">
        <x:v>438.54860999999994</x:v>
      </x:c>
      <x:c r="D40" s="3" t="n">
        <x:v>734.05924</x:v>
      </x:c>
      <x:c r="E40" s="3" t="n">
        <x:v>6758</x:v>
      </x:c>
      <x:c r="F40" s="13" t="n">
        <x:v>0.47</x:v>
      </x:c>
      <x:c r="G40" s="3" t="n">
        <x:v>1533.34705</x:v>
      </x:c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  <x:c r="AA40" s="3"/>
      <x:c r="AB40" s="3"/>
    </x:row>
    <x:row r="41" ht="21" customHeight="1">
      <x:c r="A41" s="2" t="str">
        <x:v>Элитный</x:v>
      </x:c>
      <x:c r="B41" s="3" t="n">
        <x:v>310.31699999999995</x:v>
      </x:c>
      <x:c r="C41" s="3" t="n">
        <x:v>822.3359099999999</x:v>
      </x:c>
      <x:c r="D41" s="3" t="n">
        <x:v>304.32157</x:v>
      </x:c>
      <x:c r="E41" s="3" t="n">
        <x:v>3391.1692600000024</x:v>
      </x:c>
      <x:c r="F41" s="13" t="n">
        <x:v>0.35</x:v>
      </x:c>
      <x:c r="G41" s="3" t="n">
        <x:v>581.349</x:v>
      </x:c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  <x:c r="AA41" s="3"/>
      <x:c r="AB41" s="3"/>
    </x:row>
    <x:row r="42" ht="21" customHeight="1">
      <x:c r="A42" s="2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  <x:c r="AA42" s="3"/>
      <x:c r="AB42" s="3"/>
    </x:row>
    <x:row r="43" ht="21" customHeight="1">
      <x:c r="A43" s="2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  <x:c r="AA43" s="3"/>
      <x:c r="AB43" s="3"/>
    </x:row>
    <x:row r="44" ht="42" customHeight="1">
      <x:c r="A44" s="18" t="str">
        <x:v>Класс</x:v>
      </x:c>
      <x:c r="B44" s="19" t="str">
        <x:v>Год</x:v>
      </x:c>
      <x:c r="C44" s="19" t="str">
        <x:v>Продажи за год</x:v>
      </x:c>
      <x:c r="D44" s="19" t="str">
        <x:v>Портфель на начало</x:v>
      </x:c>
      <x:c r="E44" s="19" t="str">
        <x:v>Распроданность на начало</x:v>
      </x:c>
      <x:c r="F44" s="19"/>
      <x:c r="G44" s="19"/>
      <x:c r="H44" s="19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  <x:c r="AA44" s="3"/>
      <x:c r="AB44" s="3"/>
    </x:row>
    <x:row r="45" ht="21" customHeight="1">
      <x:c r="A45" s="2" t="str">
        <x:v>Эконом/комфорт</x:v>
      </x:c>
      <x:c r="B45" s="12" t="n">
        <x:v>2021</x:v>
      </x:c>
      <x:c r="C45" s="3" t="n">
        <x:v>2644.2174299999997</x:v>
      </x:c>
      <x:c r="D45" s="3" t="n">
        <x:v>9677</x:v>
      </x:c>
      <x:c r="E45" s="13" t="n">
        <x:v>0.51</x:v>
      </x:c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  <x:c r="AA45" s="3"/>
      <x:c r="AB45" s="3"/>
    </x:row>
    <x:row r="46" ht="21" customHeight="1">
      <x:c r="A46" s="2" t="str">
        <x:v>Эконом/комфорт</x:v>
      </x:c>
      <x:c r="B46" s="12" t="n">
        <x:v>2022</x:v>
      </x:c>
      <x:c r="C46" s="3" t="n">
        <x:v>2502.97156</x:v>
      </x:c>
      <x:c r="D46" s="3" t="n">
        <x:v>8240</x:v>
      </x:c>
      <x:c r="E46" s="13" t="n">
        <x:v>0.49</x:v>
      </x:c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  <x:c r="AA46" s="3"/>
      <x:c r="AB46" s="3"/>
    </x:row>
    <x:row r="47" ht="21" customHeight="1">
      <x:c r="A47" s="2" t="str">
        <x:v>Эконом/комфорт</x:v>
      </x:c>
      <x:c r="B47" s="12" t="n">
        <x:v>2023</x:v>
      </x:c>
      <x:c r="C47" s="3" t="n">
        <x:v>2930.13251</x:v>
      </x:c>
      <x:c r="D47" s="3" t="n">
        <x:v>8812</x:v>
      </x:c>
      <x:c r="E47" s="13" t="n">
        <x:v>0.43</x:v>
      </x:c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  <x:c r="AA47" s="3"/>
      <x:c r="AB47" s="3"/>
    </x:row>
    <x:row r="48" ht="21" customHeight="1">
      <x:c r="A48" s="2" t="str">
        <x:v>Эконом/комфорт</x:v>
      </x:c>
      <x:c r="B48" s="12" t="n">
        <x:v>2024</x:v>
      </x:c>
      <x:c r="C48" s="3" t="n">
        <x:v>2193.2283399999997</x:v>
      </x:c>
      <x:c r="D48" s="3" t="n">
        <x:v>8531</x:v>
      </x:c>
      <x:c r="E48" s="13" t="n">
        <x:v>0.47</x:v>
      </x:c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  <x:c r="AA48" s="3"/>
      <x:c r="AB48" s="3"/>
    </x:row>
    <x:row r="49" ht="21" customHeight="1">
      <x:c r="A49" s="2" t="str">
        <x:v>Эконом/комфорт</x:v>
      </x:c>
      <x:c r="B49" s="12" t="n">
        <x:v>2025</x:v>
      </x:c>
      <x:c r="C49" s="3" t="n">
        <x:v>2069.95931</x:v>
      </x:c>
      <x:c r="D49" s="3" t="n">
        <x:v>7993</x:v>
      </x:c>
      <x:c r="E49" s="13" t="n">
        <x:v>0.49</x:v>
      </x:c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  <x:c r="Y49" s="3"/>
      <x:c r="Z49" s="3"/>
      <x:c r="AA49" s="3"/>
      <x:c r="AB49" s="3"/>
    </x:row>
    <x:row r="50" ht="21" customHeight="1">
      <x:c r="A50" s="2" t="str">
        <x:v>Бизнес</x:v>
      </x:c>
      <x:c r="B50" s="12" t="n">
        <x:v>2021</x:v>
      </x:c>
      <x:c r="C50" s="3" t="n">
        <x:v>1522.2874399999998</x:v>
      </x:c>
      <x:c r="D50" s="3" t="n">
        <x:v>5271</x:v>
      </x:c>
      <x:c r="E50" s="13" t="n">
        <x:v>0.48</x:v>
      </x:c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  <x:c r="Y50" s="3"/>
      <x:c r="Z50" s="3"/>
      <x:c r="AA50" s="3"/>
      <x:c r="AB50" s="3"/>
    </x:row>
    <x:row r="51" ht="21" customHeight="1">
      <x:c r="A51" s="2" t="str">
        <x:v>Бизнес</x:v>
      </x:c>
      <x:c r="B51" s="12" t="n">
        <x:v>2022</x:v>
      </x:c>
      <x:c r="C51" s="3" t="n">
        <x:v>839.1984699999999</x:v>
      </x:c>
      <x:c r="D51" s="3" t="n">
        <x:v>6349</x:v>
      </x:c>
      <x:c r="E51" s="13" t="n">
        <x:v>0.49</x:v>
      </x:c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  <x:c r="Y51" s="3"/>
      <x:c r="Z51" s="3"/>
      <x:c r="AA51" s="3"/>
      <x:c r="AB51" s="3"/>
    </x:row>
    <x:row r="52" ht="21" customHeight="1">
      <x:c r="A52" s="2" t="str">
        <x:v>Бизнес</x:v>
      </x:c>
      <x:c r="B52" s="12" t="n">
        <x:v>2023</x:v>
      </x:c>
      <x:c r="C52" s="3" t="n">
        <x:v>1388.87319</x:v>
      </x:c>
      <x:c r="D52" s="3" t="n">
        <x:v>5913</x:v>
      </x:c>
      <x:c r="E52" s="13" t="n">
        <x:v>0.43</x:v>
      </x:c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  <x:c r="AA52" s="3"/>
      <x:c r="AB52" s="3"/>
    </x:row>
    <x:row r="53" ht="21" customHeight="1">
      <x:c r="A53" s="2" t="str">
        <x:v>Бизнес</x:v>
      </x:c>
      <x:c r="B53" s="12" t="n">
        <x:v>2024</x:v>
      </x:c>
      <x:c r="C53" s="3" t="n">
        <x:v>1519.1598000000001</x:v>
      </x:c>
      <x:c r="D53" s="3" t="n">
        <x:v>5773</x:v>
      </x:c>
      <x:c r="E53" s="13" t="n">
        <x:v>0.42</x:v>
      </x:c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  <x:c r="AA53" s="3"/>
      <x:c r="AB53" s="3"/>
    </x:row>
    <x:row r="54" ht="21" customHeight="1">
      <x:c r="A54" s="2" t="str">
        <x:v>Бизнес</x:v>
      </x:c>
      <x:c r="B54" s="12" t="n">
        <x:v>2025</x:v>
      </x:c>
      <x:c r="C54" s="3" t="n">
        <x:v>1533.34705</x:v>
      </x:c>
      <x:c r="D54" s="3" t="n">
        <x:v>6462</x:v>
      </x:c>
      <x:c r="E54" s="13" t="n">
        <x:v>0.43</x:v>
      </x:c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  <x:c r="AA54" s="3"/>
      <x:c r="AB54" s="3"/>
    </x:row>
    <x:row r="55" ht="21" customHeight="1">
      <x:c r="A55" s="2" t="str">
        <x:v>Элитный</x:v>
      </x:c>
      <x:c r="B55" s="12" t="n">
        <x:v>2021</x:v>
      </x:c>
      <x:c r="C55" s="3" t="n">
        <x:v>270.85506</x:v>
      </x:c>
      <x:c r="D55" s="3" t="n">
        <x:v>1081</x:v>
      </x:c>
      <x:c r="E55" s="13" t="n">
        <x:v>0.47</x:v>
      </x:c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  <x:c r="AA55" s="3"/>
      <x:c r="AB55" s="3"/>
    </x:row>
    <x:row r="56" ht="21" customHeight="1">
      <x:c r="A56" s="2" t="str">
        <x:v>Элитный</x:v>
      </x:c>
      <x:c r="B56" s="12" t="n">
        <x:v>2022</x:v>
      </x:c>
      <x:c r="C56" s="3" t="n">
        <x:v>128.67102</x:v>
      </x:c>
      <x:c r="D56" s="3" t="n">
        <x:v>1015.7643599999992</x:v>
      </x:c>
      <x:c r="E56" s="13" t="n">
        <x:v>0.4</x:v>
      </x:c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/>
      <x:c r="X56" s="3"/>
      <x:c r="Y56" s="3"/>
      <x:c r="Z56" s="3"/>
      <x:c r="AA56" s="3"/>
      <x:c r="AB56" s="3"/>
    </x:row>
    <x:row r="57" ht="21" customHeight="1">
      <x:c r="A57" s="2" t="str">
        <x:v>Элитный</x:v>
      </x:c>
      <x:c r="B57" s="12" t="n">
        <x:v>2023</x:v>
      </x:c>
      <x:c r="C57" s="3" t="n">
        <x:v>347.31615000000005</x:v>
      </x:c>
      <x:c r="D57" s="3" t="n">
        <x:v>1869.95377</x:v>
      </x:c>
      <x:c r="E57" s="13" t="n">
        <x:v>0.27</x:v>
      </x:c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  <x:c r="V57" s="3"/>
      <x:c r="W57" s="3"/>
      <x:c r="X57" s="3"/>
      <x:c r="Y57" s="3"/>
      <x:c r="Z57" s="3"/>
      <x:c r="AA57" s="3"/>
      <x:c r="AB57" s="3"/>
    </x:row>
    <x:row r="58" ht="21" customHeight="1">
      <x:c r="A58" s="2" t="str">
        <x:v>Элитный</x:v>
      </x:c>
      <x:c r="B58" s="12" t="n">
        <x:v>2024</x:v>
      </x:c>
      <x:c r="C58" s="3" t="n">
        <x:v>536.38606</x:v>
      </x:c>
      <x:c r="D58" s="3" t="n">
        <x:v>2564.5462399999997</x:v>
      </x:c>
      <x:c r="E58" s="13" t="n">
        <x:v>0.3</x:v>
      </x:c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  <x:c r="V58" s="3"/>
      <x:c r="W58" s="3"/>
      <x:c r="X58" s="3"/>
      <x:c r="Y58" s="3"/>
      <x:c r="Z58" s="3"/>
      <x:c r="AA58" s="3"/>
      <x:c r="AB58" s="3"/>
    </x:row>
    <x:row r="59" ht="21" customHeight="1">
      <x:c r="A59" s="2" t="str">
        <x:v>Элитный</x:v>
      </x:c>
      <x:c r="B59" s="12" t="n">
        <x:v>2025</x:v>
      </x:c>
      <x:c r="C59" s="3" t="n">
        <x:v>581.349</x:v>
      </x:c>
      <x:c r="D59" s="3" t="n">
        <x:v>3275.1412100000016</x:v>
      </x:c>
      <x:c r="E59" s="13" t="n">
        <x:v>0.31</x:v>
      </x:c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  <x:c r="V59" s="3"/>
      <x:c r="W59" s="3"/>
      <x:c r="X59" s="3"/>
      <x:c r="Y59" s="3"/>
      <x:c r="Z59" s="3"/>
      <x:c r="AA59" s="3"/>
      <x:c r="AB59" s="3"/>
    </x:row>
    <x:row r="60" ht="21" customHeight="1">
      <x:c r="A60" s="2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  <x:c r="V60" s="3"/>
      <x:c r="W60" s="3"/>
      <x:c r="X60" s="3"/>
      <x:c r="Y60" s="3"/>
      <x:c r="Z60" s="3"/>
      <x:c r="AA60" s="3"/>
      <x:c r="AB60" s="3"/>
    </x:row>
    <x:row r="61" ht="21" customHeight="1">
      <x:c r="A61" s="2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  <x:c r="V61" s="3"/>
      <x:c r="W61" s="3"/>
      <x:c r="X61" s="3"/>
      <x:c r="Y61" s="3"/>
      <x:c r="Z61" s="3"/>
      <x:c r="AA61" s="3"/>
      <x:c r="AB61" s="3"/>
    </x:row>
    <x:row r="62" ht="21" customHeight="1">
      <x:c r="A62" s="2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  <x:c r="T62" s="3"/>
      <x:c r="U62" s="3"/>
      <x:c r="V62" s="3"/>
      <x:c r="W62" s="3"/>
      <x:c r="X62" s="3"/>
      <x:c r="Y62" s="3"/>
      <x:c r="Z62" s="3"/>
      <x:c r="AA62" s="3"/>
      <x:c r="AB62" s="3"/>
    </x:row>
    <x:row r="63" ht="48" customHeight="1">
      <x:c r="A63" s="10" t="str">
        <x:v>История продаж, портфеля и распроданности: «Продажи и ипотека.xlsx», лист «запуски-портфель», строки 13–15, 18–20, 47–49. История 2021–2025; факт 9М2026.</x:v>
      </x:c>
      <x:c r="B63" s="11"/>
      <x:c r="C63" s="11"/>
      <x:c r="D63" s="11"/>
      <x:c r="E63" s="11"/>
      <x:c r="F63" s="11"/>
      <x:c r="G63" s="11"/>
      <x:c r="H63" s="11"/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  <x:c r="T63" s="3"/>
      <x:c r="U63" s="3"/>
      <x:c r="V63" s="3"/>
      <x:c r="W63" s="3"/>
      <x:c r="X63" s="3"/>
      <x:c r="Y63" s="3"/>
      <x:c r="Z63" s="3"/>
      <x:c r="AA63" s="3"/>
      <x:c r="AB63" s="3"/>
    </x:row>
    <x:row r="64" ht="48" customHeight="1">
      <x:c r="A64" s="10" t="str">
        <x:v>Дата ввода: «Дата разрешения на ввод»; при отсутствии — «Фактическая дата сдачи». Просроченные сроки действующего портфеля отнесены к остатку 2026 года.</x:v>
      </x:c>
      <x:c r="B64" s="11"/>
      <x:c r="C64" s="11"/>
      <x:c r="D64" s="11"/>
      <x:c r="E64" s="11"/>
      <x:c r="F64" s="11"/>
      <x:c r="G64" s="11"/>
      <x:c r="H64" s="11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  <x:c r="AA64" s="3"/>
      <x:c r="AB64" s="3"/>
    </x:row>
    <x:row r="65" ht="48" customHeight="1">
      <x:c r="A65" s="10" t="str">
        <x:v>Профили ввода: запуски 24.10.2025–23.10.2026, площадь. Ввод в год запуска обнулен; исходная доля равномерно распределена между +1…+5 годами внутри класса.</x:v>
      </x:c>
      <x:c r="B65" s="11"/>
      <x:c r="C65" s="11"/>
      <x:c r="D65" s="11"/>
      <x:c r="E65" s="11"/>
      <x:c r="F65" s="11"/>
      <x:c r="G65" s="11"/>
      <x:c r="H65" s="11"/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  <x:c r="T65" s="3"/>
      <x:c r="U65" s="3"/>
      <x:c r="V65" s="3"/>
      <x:c r="W65" s="3"/>
      <x:c r="X65" s="3"/>
      <x:c r="Y65" s="3"/>
      <x:c r="Z65" s="3"/>
      <x:c r="AA65" s="3"/>
      <x:c r="AB65" s="3"/>
    </x:row>
    <x:row r="66" ht="48" customHeight="1">
      <x:c r="A66" s="10" t="str">
        <x:v>Запуски с 2027: 0,5 × прошлые запуски + 0,5 × 1,149 × средние продажи текущего и следующего года. Продажи 2031 временно равны продажам 2030.</x:v>
      </x:c>
      <x:c r="B66" s="11"/>
      <x:c r="C66" s="11"/>
      <x:c r="D66" s="11"/>
      <x:c r="E66" s="11"/>
      <x:c r="F66" s="11"/>
      <x:c r="G66" s="11"/>
      <x:c r="H66" s="11"/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  <x:c r="T66" s="3"/>
      <x:c r="U66" s="3"/>
      <x:c r="V66" s="3"/>
      <x:c r="W66" s="3"/>
      <x:c r="X66" s="3"/>
      <x:c r="Y66" s="3"/>
      <x:c r="Z66" s="3"/>
      <x:c r="AA66" s="3"/>
      <x:c r="AB66" s="3"/>
    </x:row>
    <x:row r="67" ht="48" customHeight="1">
      <x:c r="A67" s="10" t="str">
        <x:v>Структура запусков с 2027: 934/850/750. Для 2026 общий объем 2534 согласован с уже запущенной элитой 822,336: остаток распределен между эконом/комфортом и бизнесом пропорционально положительным разрывам до ориентиров.</x:v>
      </x:c>
      <x:c r="B67" s="11"/>
      <x:c r="C67" s="11"/>
      <x:c r="D67" s="11"/>
      <x:c r="E67" s="11"/>
      <x:c r="F67" s="11"/>
      <x:c r="G67" s="11"/>
      <x:c r="H67" s="11"/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  <x:c r="T67" s="3"/>
      <x:c r="U67" s="3"/>
      <x:c r="V67" s="3"/>
      <x:c r="W67" s="3"/>
      <x:c r="X67" s="3"/>
      <x:c r="Y67" s="3"/>
      <x:c r="Z67" s="3"/>
      <x:c r="AA67" s="3"/>
      <x:c r="AB67" s="3"/>
    </x:row>
    <x:row r="68" ht="48" customHeight="1">
      <x:c r="A68" s="10" t="str">
        <x:v>Продажи по классам: 50% доли предыдущего года + 50% доли произведения начального непроданного остатка на среднюю историческую интенсивность продаж 2021–2025. Будущие годы не входят в калибровку.</x:v>
      </x:c>
      <x:c r="B68" s="11"/>
      <x:c r="C68" s="11"/>
      <x:c r="D68" s="11"/>
      <x:c r="E68" s="11"/>
      <x:c r="F68" s="11"/>
      <x:c r="G68" s="11"/>
      <x:c r="H68" s="11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  <x:c r="AA68" s="3"/>
      <x:c r="AB68" s="3"/>
    </x:row>
    <x:row r="69" ht="48" customHeight="1">
      <x:c r="A69" s="10" t="str">
        <x:v>Продажи 2026 после 23 октября: (годовой прогноз класса − факт 9М класса) × 69/92. Это оценка при равномерных продажах IV квартала, а не фактический ряд на 23 октября.</x:v>
      </x:c>
      <x:c r="B69" s="11"/>
      <x:c r="C69" s="11"/>
      <x:c r="D69" s="11"/>
      <x:c r="E69" s="11"/>
      <x:c r="F69" s="11"/>
      <x:c r="G69" s="11"/>
      <x:c r="H69" s="11"/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  <x:c r="T69" s="3"/>
      <x:c r="U69" s="3"/>
      <x:c r="V69" s="3"/>
      <x:c r="W69" s="3"/>
      <x:c r="X69" s="3"/>
      <x:c r="Y69" s="3"/>
      <x:c r="Z69" s="3"/>
      <x:c r="AA69" s="3"/>
      <x:c r="AB69" s="3"/>
    </x:row>
    <x:row r="70" ht="48" customHeight="1">
      <x:c r="A70" s="10" t="str">
        <x:v>Веса продаж по лагу ввода: 13,57 / 36,12 / 31,11 / 14,95 / 4,25% для текущего года и +1…+4. Пятый год обнулен. В этой версии единые веса для классов; класс-специфическая калибровка отсутствует.</x:v>
      </x:c>
      <x:c r="B70" s="11"/>
      <x:c r="C70" s="11"/>
      <x:c r="D70" s="11"/>
      <x:c r="E70" s="11"/>
      <x:c r="F70" s="11"/>
      <x:c r="G70" s="11"/>
      <x:c r="H70" s="11"/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  <x:c r="T70" s="3"/>
      <x:c r="U70" s="3"/>
      <x:c r="V70" s="3"/>
      <x:c r="W70" s="3"/>
      <x:c r="X70" s="3"/>
      <x:c r="Y70" s="3"/>
      <x:c r="Z70" s="3"/>
      <x:c r="AA70" s="3"/>
      <x:c r="AB70" s="3"/>
    </x:row>
    <x:row r="71" ht="48" customHeight="1">
      <x:c r="A71" s="10" t="str">
        <x:v>Внутри класса продажи распределяются по группам ввода с ограничением непроданной площадью. Недостающая емкость перераспределяется по остальным группам с положительным весом; нераспределенный объем показан отдельно.</x:v>
      </x:c>
      <x:c r="B71" s="11"/>
      <x:c r="C71" s="11"/>
      <x:c r="D71" s="11"/>
      <x:c r="E71" s="11"/>
      <x:c r="F71" s="11"/>
      <x:c r="G71" s="11"/>
      <x:c r="H71" s="11"/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  <x:c r="T71" s="3"/>
      <x:c r="U71" s="3"/>
      <x:c r="V71" s="3"/>
      <x:c r="W71" s="3"/>
      <x:c r="X71" s="3"/>
      <x:c r="Y71" s="3"/>
      <x:c r="Z71" s="3"/>
      <x:c r="AA71" s="3"/>
      <x:c r="AB71" s="3"/>
    </x:row>
    <x:row r="72" ht="48" customHeight="1">
      <x:c r="A72" s="10" t="str">
        <x:v>Сначала в году учитываются запуски и продажи, затем ввод. При вводе одинаковая доля проданной и непроданной площади группы выбывает из строительного портфеля; перенос сохраняет обе части.</x:v>
      </x:c>
      <x:c r="B72" s="11"/>
      <x:c r="C72" s="11"/>
      <x:c r="D72" s="11"/>
      <x:c r="E72" s="11"/>
      <x:c r="F72" s="11"/>
      <x:c r="G72" s="11"/>
      <x:c r="H72" s="11"/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  <x:c r="T72" s="3"/>
      <x:c r="U72" s="3"/>
      <x:c r="V72" s="3"/>
      <x:c r="W72" s="3"/>
      <x:c r="X72" s="3"/>
      <x:c r="Y72" s="3"/>
      <x:c r="Z72" s="3"/>
      <x:c r="AA72" s="3"/>
      <x:c r="AB72" s="3"/>
    </x:row>
    <x:row r="73" ht="48" customHeight="1">
      <x:c r="A73" s="10" t="str">
        <x:v>Корректировка −0,1123286% начального портфеля с 2027 учитывается отдельно от графика вводов. Проданная часть корректируется пропорционально распроданности перед корректировкой. Накопленная корректировка остается отдельным остатком.</x:v>
      </x:c>
      <x:c r="B73" s="11"/>
      <x:c r="C73" s="11"/>
      <x:c r="D73" s="11"/>
      <x:c r="E73" s="11"/>
      <x:c r="F73" s="11"/>
      <x:c r="G73" s="11"/>
      <x:c r="H73" s="11"/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  <x:c r="T73" s="3"/>
      <x:c r="U73" s="3"/>
      <x:c r="V73" s="3"/>
      <x:c r="W73" s="3"/>
      <x:c r="X73" s="3"/>
      <x:c r="Y73" s="3"/>
      <x:c r="Z73" s="3"/>
      <x:c r="AA73" s="3"/>
      <x:c r="AB73" s="3"/>
    </x:row>
    <x:row r="74" ht="48" customHeight="1">
      <x:c r="A74" s="10" t="str">
        <x:v>Контур распроданности — только строящееся жилье. Продажи введенного жилья отдельно не моделируются. Годовые продажи класса включают весь год; в балансе 2026 учитывается только оценка после среза.</x:v>
      </x:c>
      <x:c r="B74" s="11"/>
      <x:c r="C74" s="11"/>
      <x:c r="D74" s="11"/>
      <x:c r="E74" s="11"/>
      <x:c r="F74" s="11"/>
      <x:c r="G74" s="11"/>
      <x:c r="H74" s="11"/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  <x:c r="T74" s="3"/>
      <x:c r="U74" s="3"/>
      <x:c r="V74" s="3"/>
      <x:c r="W74" s="3"/>
      <x:c r="X74" s="3"/>
      <x:c r="Y74" s="3"/>
      <x:c r="Z74" s="3"/>
      <x:c r="AA74" s="3"/>
      <x:c r="AB74" s="3"/>
    </x:row>
    <x:row r="75" ht="48" customHeight="1">
      <x:c r="A75" s="10" t="str">
        <x:v>Распроданность и непроданный остаток в этой книге пересчитаны на новых продажах, запусках и вводах. Это техническая реализация с указанными допущениями, не копия старого расчета из соседнего диалога.</x:v>
      </x:c>
      <x:c r="B75" s="11"/>
      <x:c r="C75" s="11"/>
      <x:c r="D75" s="11"/>
      <x:c r="E75" s="11"/>
      <x:c r="F75" s="11"/>
      <x:c r="G75" s="11"/>
      <x:c r="H75" s="11"/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  <x:c r="T75" s="3"/>
      <x:c r="U75" s="3"/>
      <x:c r="V75" s="3"/>
      <x:c r="W75" s="3"/>
      <x:c r="X75" s="3"/>
      <x:c r="Y75" s="3"/>
      <x:c r="Z75" s="3"/>
      <x:c r="AA75" s="3"/>
      <x:c r="AB75" s="3"/>
    </x:row>
    <x:row r="76" ht="21" customHeight="1">
      <x:c r="A76" s="2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  <x:c r="T76" s="3"/>
      <x:c r="U76" s="3"/>
      <x:c r="V76" s="3"/>
      <x:c r="W76" s="3"/>
      <x:c r="X76" s="3"/>
      <x:c r="Y76" s="3"/>
      <x:c r="Z76" s="3"/>
      <x:c r="AA76" s="3"/>
      <x:c r="AB76" s="3"/>
    </x:row>
    <x:row r="77" ht="21" customHeight="1">
      <x:c r="A77" s="2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  <x:c r="AA77" s="3"/>
      <x:c r="AB77" s="3"/>
    </x:row>
    <x:row r="78" ht="21" customHeight="1">
      <x:c r="A78" s="2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  <x:c r="T78" s="3"/>
      <x:c r="U78" s="3"/>
      <x:c r="V78" s="3"/>
      <x:c r="W78" s="3"/>
      <x:c r="X78" s="3"/>
      <x:c r="Y78" s="3"/>
      <x:c r="Z78" s="3"/>
      <x:c r="AA78" s="3"/>
      <x:c r="AB78" s="3"/>
    </x:row>
    <x:row r="79" ht="21" customHeight="1">
      <x:c r="A79" s="2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  <x:c r="T79" s="3"/>
      <x:c r="U79" s="3"/>
      <x:c r="V79" s="3"/>
      <x:c r="W79" s="3"/>
      <x:c r="X79" s="3"/>
      <x:c r="Y79" s="3"/>
      <x:c r="Z79" s="3"/>
      <x:c r="AA79" s="3"/>
      <x:c r="AB79" s="3"/>
    </x:row>
    <x:row r="80" ht="21" customHeight="1">
      <x:c r="A80" s="2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  <x:c r="Q80" s="3"/>
      <x:c r="R80" s="3"/>
      <x:c r="S80" s="3"/>
      <x:c r="T80" s="3"/>
      <x:c r="U80" s="3"/>
      <x:c r="V80" s="3"/>
      <x:c r="W80" s="3"/>
      <x:c r="X80" s="3"/>
      <x:c r="Y80" s="3"/>
      <x:c r="Z80" s="3"/>
      <x:c r="AA80" s="3"/>
      <x:c r="AB80" s="3"/>
    </x:row>
    <x:row r="81" ht="21" customHeight="1">
      <x:c r="A81" s="2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  <x:c r="AA81" s="3"/>
      <x:c r="AB81" s="3"/>
    </x:row>
    <x:row r="82" ht="21" customHeight="1">
      <x:c r="A82" s="2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3"/>
      <x:c r="Q82" s="3"/>
      <x:c r="R82" s="3"/>
      <x:c r="S82" s="3"/>
      <x:c r="T82" s="3"/>
      <x:c r="U82" s="3"/>
      <x:c r="V82" s="3"/>
      <x:c r="W82" s="3"/>
      <x:c r="X82" s="3"/>
      <x:c r="Y82" s="3"/>
      <x:c r="Z82" s="3"/>
      <x:c r="AA82" s="3"/>
      <x:c r="AB82" s="3"/>
    </x:row>
    <x:row r="83" ht="21" customHeight="1">
      <x:c r="A83" s="2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3"/>
      <x:c r="Q83" s="3"/>
      <x:c r="R83" s="3"/>
      <x:c r="S83" s="3"/>
      <x:c r="T83" s="3"/>
      <x:c r="U83" s="3"/>
      <x:c r="V83" s="3"/>
      <x:c r="W83" s="3"/>
      <x:c r="X83" s="3"/>
      <x:c r="Y83" s="3"/>
      <x:c r="Z83" s="3"/>
      <x:c r="AA83" s="3"/>
      <x:c r="AB83" s="3"/>
    </x:row>
    <x:row r="84" ht="21" customHeight="1">
      <x:c r="A84" s="2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3"/>
      <x:c r="Q84" s="3"/>
      <x:c r="R84" s="3"/>
      <x:c r="S84" s="3"/>
      <x:c r="T84" s="3"/>
      <x:c r="U84" s="3"/>
      <x:c r="V84" s="3"/>
      <x:c r="W84" s="3"/>
      <x:c r="X84" s="3"/>
      <x:c r="Y84" s="3"/>
      <x:c r="Z84" s="3"/>
      <x:c r="AA84" s="3"/>
      <x:c r="AB84" s="3"/>
    </x:row>
    <x:row r="85" ht="21" customHeight="1">
      <x:c r="A85" s="2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3"/>
      <x:c r="Q85" s="3"/>
      <x:c r="R85" s="3"/>
      <x:c r="S85" s="3"/>
      <x:c r="T85" s="3"/>
      <x:c r="U85" s="3"/>
      <x:c r="V85" s="3"/>
      <x:c r="W85" s="3"/>
      <x:c r="X85" s="3"/>
      <x:c r="Y85" s="3"/>
      <x:c r="Z85" s="3"/>
      <x:c r="AA85" s="3"/>
      <x:c r="AB85" s="3"/>
    </x:row>
    <x:row r="86" ht="21" customHeight="1">
      <x:c r="A86" s="2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3"/>
      <x:c r="Q86" s="3"/>
      <x:c r="R86" s="3"/>
      <x:c r="S86" s="3"/>
      <x:c r="T86" s="3"/>
      <x:c r="U86" s="3"/>
      <x:c r="V86" s="3"/>
      <x:c r="W86" s="3"/>
      <x:c r="X86" s="3"/>
      <x:c r="Y86" s="3"/>
      <x:c r="Z86" s="3"/>
      <x:c r="AA86" s="3"/>
      <x:c r="AB86" s="3"/>
    </x:row>
    <x:row r="87" ht="21" customHeight="1">
      <x:c r="A87" s="2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3"/>
      <x:c r="Q87" s="3"/>
      <x:c r="R87" s="3"/>
      <x:c r="S87" s="3"/>
      <x:c r="T87" s="3"/>
      <x:c r="U87" s="3"/>
      <x:c r="V87" s="3"/>
      <x:c r="W87" s="3"/>
      <x:c r="X87" s="3"/>
      <x:c r="Y87" s="3"/>
      <x:c r="Z87" s="3"/>
      <x:c r="AA87" s="3"/>
      <x:c r="AB87" s="3"/>
    </x:row>
    <x:row r="88" ht="21" customHeight="1">
      <x:c r="A88" s="2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3"/>
      <x:c r="Q88" s="3"/>
      <x:c r="R88" s="3"/>
      <x:c r="S88" s="3"/>
      <x:c r="T88" s="3"/>
      <x:c r="U88" s="3"/>
      <x:c r="V88" s="3"/>
      <x:c r="W88" s="3"/>
      <x:c r="X88" s="3"/>
      <x:c r="Y88" s="3"/>
      <x:c r="Z88" s="3"/>
      <x:c r="AA88" s="3"/>
      <x:c r="AB88" s="3"/>
    </x:row>
    <x:row r="89" ht="21" customHeight="1">
      <x:c r="A89" s="2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3"/>
      <x:c r="Q89" s="3"/>
      <x:c r="R89" s="3"/>
      <x:c r="S89" s="3"/>
      <x:c r="T89" s="3"/>
      <x:c r="U89" s="3"/>
      <x:c r="V89" s="3"/>
      <x:c r="W89" s="3"/>
      <x:c r="X89" s="3"/>
      <x:c r="Y89" s="3"/>
      <x:c r="Z89" s="3"/>
      <x:c r="AA89" s="3"/>
      <x:c r="AB89" s="3"/>
    </x:row>
    <x:row r="90" ht="21" customHeight="1">
      <x:c r="A90" s="2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3"/>
      <x:c r="Z90" s="3"/>
      <x:c r="AA90" s="3"/>
      <x:c r="AB90" s="3"/>
    </x:row>
    <x:row r="91" ht="21" customHeight="1">
      <x:c r="A91" s="2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3"/>
      <x:c r="Q91" s="3"/>
      <x:c r="R91" s="3"/>
      <x:c r="S91" s="3"/>
      <x:c r="T91" s="3"/>
      <x:c r="U91" s="3"/>
      <x:c r="V91" s="3"/>
      <x:c r="W91" s="3"/>
      <x:c r="X91" s="3"/>
      <x:c r="Y91" s="3"/>
      <x:c r="Z91" s="3"/>
      <x:c r="AA91" s="3"/>
      <x:c r="AB91" s="3"/>
    </x:row>
    <x:row r="92" ht="21" customHeight="1">
      <x:c r="A92" s="2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3"/>
      <x:c r="Q92" s="3"/>
      <x:c r="R92" s="3"/>
      <x:c r="S92" s="3"/>
      <x:c r="T92" s="3"/>
      <x:c r="U92" s="3"/>
      <x:c r="V92" s="3"/>
      <x:c r="W92" s="3"/>
      <x:c r="X92" s="3"/>
      <x:c r="Y92" s="3"/>
      <x:c r="Z92" s="3"/>
      <x:c r="AA92" s="3"/>
      <x:c r="AB92" s="3"/>
    </x:row>
    <x:row r="93" ht="21" customHeight="1">
      <x:c r="A93" s="2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3"/>
      <x:c r="Q93" s="3"/>
      <x:c r="R93" s="3"/>
      <x:c r="S93" s="3"/>
      <x:c r="T93" s="3"/>
      <x:c r="U93" s="3"/>
      <x:c r="V93" s="3"/>
      <x:c r="W93" s="3"/>
      <x:c r="X93" s="3"/>
      <x:c r="Y93" s="3"/>
      <x:c r="Z93" s="3"/>
      <x:c r="AA93" s="3"/>
      <x:c r="AB93" s="3"/>
    </x:row>
    <x:row r="94" ht="21" customHeight="1">
      <x:c r="A94" s="2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  <x:c r="AA94" s="3"/>
      <x:c r="AB94" s="3"/>
    </x:row>
    <x:row r="95" ht="21" customHeight="1">
      <x:c r="A95" s="2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3"/>
      <x:c r="Q95" s="3"/>
      <x:c r="R95" s="3"/>
      <x:c r="S95" s="3"/>
      <x:c r="T95" s="3"/>
      <x:c r="U95" s="3"/>
      <x:c r="V95" s="3"/>
      <x:c r="W95" s="3"/>
      <x:c r="X95" s="3"/>
      <x:c r="Y95" s="3"/>
      <x:c r="Z95" s="3"/>
      <x:c r="AA95" s="3"/>
      <x:c r="AB95" s="3"/>
    </x:row>
    <x:row r="96" ht="21" customHeight="1">
      <x:c r="A96" s="2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3"/>
      <x:c r="Q96" s="3"/>
      <x:c r="R96" s="3"/>
      <x:c r="S96" s="3"/>
      <x:c r="T96" s="3"/>
      <x:c r="U96" s="3"/>
      <x:c r="V96" s="3"/>
      <x:c r="W96" s="3"/>
      <x:c r="X96" s="3"/>
      <x:c r="Y96" s="3"/>
      <x:c r="Z96" s="3"/>
      <x:c r="AA96" s="3"/>
      <x:c r="AB96" s="3"/>
    </x:row>
    <x:row r="97" ht="21" customHeight="1">
      <x:c r="A97" s="2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3"/>
      <x:c r="Q97" s="3"/>
      <x:c r="R97" s="3"/>
      <x:c r="S97" s="3"/>
      <x:c r="T97" s="3"/>
      <x:c r="U97" s="3"/>
      <x:c r="V97" s="3"/>
      <x:c r="W97" s="3"/>
      <x:c r="X97" s="3"/>
      <x:c r="Y97" s="3"/>
      <x:c r="Z97" s="3"/>
      <x:c r="AA97" s="3"/>
      <x:c r="AB97" s="3"/>
    </x:row>
    <x:row r="98" ht="21" customHeight="1">
      <x:c r="A98" s="2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3"/>
      <x:c r="Q98" s="3"/>
      <x:c r="R98" s="3"/>
      <x:c r="S98" s="3"/>
      <x:c r="T98" s="3"/>
      <x:c r="U98" s="3"/>
      <x:c r="V98" s="3"/>
      <x:c r="W98" s="3"/>
      <x:c r="X98" s="3"/>
      <x:c r="Y98" s="3"/>
      <x:c r="Z98" s="3"/>
      <x:c r="AA98" s="3"/>
      <x:c r="AB98" s="3"/>
    </x:row>
    <x:row r="99" ht="21" customHeight="1">
      <x:c r="A99" s="2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3"/>
      <x:c r="Q99" s="3"/>
      <x:c r="R99" s="3"/>
      <x:c r="S99" s="3"/>
      <x:c r="T99" s="3"/>
      <x:c r="U99" s="3"/>
      <x:c r="V99" s="3"/>
      <x:c r="W99" s="3"/>
      <x:c r="X99" s="3"/>
      <x:c r="Y99" s="3"/>
      <x:c r="Z99" s="3"/>
      <x:c r="AA99" s="3"/>
      <x:c r="AB99" s="3"/>
    </x:row>
    <x:row r="100" ht="21" customHeight="1">
      <x:c r="A100" s="2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3"/>
      <x:c r="Q100" s="3"/>
      <x:c r="R100" s="3"/>
      <x:c r="S100" s="3"/>
      <x:c r="T100" s="3"/>
      <x:c r="U100" s="3"/>
      <x:c r="V100" s="3"/>
      <x:c r="W100" s="3"/>
      <x:c r="X100" s="3"/>
      <x:c r="Y100" s="3"/>
      <x:c r="Z100" s="3"/>
      <x:c r="AA100" s="3"/>
      <x:c r="AB100" s="3"/>
    </x:row>
    <x:row r="101" ht="21" customHeight="1">
      <x:c r="A101" s="2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3"/>
      <x:c r="Q101" s="3"/>
      <x:c r="R101" s="3"/>
      <x:c r="S101" s="3"/>
      <x:c r="T101" s="3"/>
      <x:c r="U101" s="3"/>
      <x:c r="V101" s="3"/>
      <x:c r="W101" s="3"/>
      <x:c r="X101" s="3"/>
      <x:c r="Y101" s="3"/>
      <x:c r="Z101" s="3"/>
      <x:c r="AA101" s="3"/>
      <x:c r="AB101" s="3"/>
    </x:row>
    <x:row r="102" ht="21" customHeight="1">
      <x:c r="A102" s="2"/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3"/>
      <x:c r="Q102" s="3"/>
      <x:c r="R102" s="3"/>
      <x:c r="S102" s="3"/>
      <x:c r="T102" s="3"/>
      <x:c r="U102" s="3"/>
      <x:c r="V102" s="3"/>
      <x:c r="W102" s="3"/>
      <x:c r="X102" s="3"/>
      <x:c r="Y102" s="3"/>
      <x:c r="Z102" s="3"/>
      <x:c r="AA102" s="3"/>
      <x:c r="AB102" s="3"/>
    </x:row>
    <x:row r="103" ht="21" customHeight="1">
      <x:c r="A103" s="2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  <x:c r="T103" s="3"/>
      <x:c r="U103" s="3"/>
      <x:c r="V103" s="3"/>
      <x:c r="W103" s="3"/>
      <x:c r="X103" s="3"/>
      <x:c r="Y103" s="3"/>
      <x:c r="Z103" s="3"/>
      <x:c r="AA103" s="3"/>
      <x:c r="AB103" s="3"/>
    </x:row>
    <x:row r="104" ht="21" customHeight="1">
      <x:c r="A104" s="2"/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3"/>
      <x:c r="Q104" s="3"/>
      <x:c r="R104" s="3"/>
      <x:c r="S104" s="3"/>
      <x:c r="T104" s="3"/>
      <x:c r="U104" s="3"/>
      <x:c r="V104" s="3"/>
      <x:c r="W104" s="3"/>
      <x:c r="X104" s="3"/>
      <x:c r="Y104" s="3"/>
      <x:c r="Z104" s="3"/>
      <x:c r="AA104" s="3"/>
      <x:c r="AB104" s="3"/>
    </x:row>
    <x:row r="105" ht="21" customHeight="1">
      <x:c r="A105" s="2"/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3"/>
      <x:c r="Q105" s="3"/>
      <x:c r="R105" s="3"/>
      <x:c r="S105" s="3"/>
      <x:c r="T105" s="3"/>
      <x:c r="U105" s="3"/>
      <x:c r="V105" s="3"/>
      <x:c r="W105" s="3"/>
      <x:c r="X105" s="3"/>
      <x:c r="Y105" s="3"/>
      <x:c r="Z105" s="3"/>
      <x:c r="AA105" s="3"/>
      <x:c r="AB105" s="3"/>
    </x:row>
    <x:row r="106" ht="21" customHeight="1">
      <x:c r="A106" s="2"/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3"/>
      <x:c r="Q106" s="3"/>
      <x:c r="R106" s="3"/>
      <x:c r="S106" s="3"/>
      <x:c r="T106" s="3"/>
      <x:c r="U106" s="3"/>
      <x:c r="V106" s="3"/>
      <x:c r="W106" s="3"/>
      <x:c r="X106" s="3"/>
      <x:c r="Y106" s="3"/>
      <x:c r="Z106" s="3"/>
      <x:c r="AA106" s="3"/>
      <x:c r="AB106" s="3"/>
    </x:row>
    <x:row r="107" ht="21" customHeight="1">
      <x:c r="A107" s="2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  <x:c r="T107" s="3"/>
      <x:c r="U107" s="3"/>
      <x:c r="V107" s="3"/>
      <x:c r="W107" s="3"/>
      <x:c r="X107" s="3"/>
      <x:c r="Y107" s="3"/>
      <x:c r="Z107" s="3"/>
      <x:c r="AA107" s="3"/>
      <x:c r="AB107" s="3"/>
    </x:row>
    <x:row r="108" ht="21" customHeight="1">
      <x:c r="A108" s="2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3"/>
      <x:c r="Q108" s="3"/>
      <x:c r="R108" s="3"/>
      <x:c r="S108" s="3"/>
      <x:c r="T108" s="3"/>
      <x:c r="U108" s="3"/>
      <x:c r="V108" s="3"/>
      <x:c r="W108" s="3"/>
      <x:c r="X108" s="3"/>
      <x:c r="Y108" s="3"/>
      <x:c r="Z108" s="3"/>
      <x:c r="AA108" s="3"/>
      <x:c r="AB108" s="3"/>
    </x:row>
    <x:row r="109" ht="21" customHeight="1">
      <x:c r="A109" s="2"/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3"/>
      <x:c r="Q109" s="3"/>
      <x:c r="R109" s="3"/>
      <x:c r="S109" s="3"/>
      <x:c r="T109" s="3"/>
      <x:c r="U109" s="3"/>
      <x:c r="V109" s="3"/>
      <x:c r="W109" s="3"/>
      <x:c r="X109" s="3"/>
      <x:c r="Y109" s="3"/>
      <x:c r="Z109" s="3"/>
      <x:c r="AA109" s="3"/>
      <x:c r="AB109" s="3"/>
    </x:row>
    <x:row r="110" ht="21" customHeight="1">
      <x:c r="A110" s="2"/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3"/>
      <x:c r="Q110" s="3"/>
      <x:c r="R110" s="3"/>
      <x:c r="S110" s="3"/>
      <x:c r="T110" s="3"/>
      <x:c r="U110" s="3"/>
      <x:c r="V110" s="3"/>
      <x:c r="W110" s="3"/>
      <x:c r="X110" s="3"/>
      <x:c r="Y110" s="3"/>
      <x:c r="Z110" s="3"/>
      <x:c r="AA110" s="3"/>
      <x:c r="AB110" s="3"/>
    </x:row>
    <x:row r="111" ht="21" customHeight="1">
      <x:c r="A111" s="2"/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3"/>
      <x:c r="Q111" s="3"/>
      <x:c r="R111" s="3"/>
      <x:c r="S111" s="3"/>
      <x:c r="T111" s="3"/>
      <x:c r="U111" s="3"/>
      <x:c r="V111" s="3"/>
      <x:c r="W111" s="3"/>
      <x:c r="X111" s="3"/>
      <x:c r="Y111" s="3"/>
      <x:c r="Z111" s="3"/>
      <x:c r="AA111" s="3"/>
      <x:c r="AB111" s="3"/>
    </x:row>
    <x:row r="112" ht="21" customHeight="1">
      <x:c r="A112" s="2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3"/>
      <x:c r="Q112" s="3"/>
      <x:c r="R112" s="3"/>
      <x:c r="S112" s="3"/>
      <x:c r="T112" s="3"/>
      <x:c r="U112" s="3"/>
      <x:c r="V112" s="3"/>
      <x:c r="W112" s="3"/>
      <x:c r="X112" s="3"/>
      <x:c r="Y112" s="3"/>
      <x:c r="Z112" s="3"/>
      <x:c r="AA112" s="3"/>
      <x:c r="AB112" s="3"/>
    </x:row>
    <x:row r="113" ht="21" customHeight="1">
      <x:c r="A113" s="2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3"/>
      <x:c r="Q113" s="3"/>
      <x:c r="R113" s="3"/>
      <x:c r="S113" s="3"/>
      <x:c r="T113" s="3"/>
      <x:c r="U113" s="3"/>
      <x:c r="V113" s="3"/>
      <x:c r="W113" s="3"/>
      <x:c r="X113" s="3"/>
      <x:c r="Y113" s="3"/>
      <x:c r="Z113" s="3"/>
      <x:c r="AA113" s="3"/>
      <x:c r="AB113" s="3"/>
    </x:row>
    <x:row r="114" ht="21" customHeight="1">
      <x:c r="A114" s="2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3"/>
      <x:c r="Q114" s="3"/>
      <x:c r="R114" s="3"/>
      <x:c r="S114" s="3"/>
      <x:c r="T114" s="3"/>
      <x:c r="U114" s="3"/>
      <x:c r="V114" s="3"/>
      <x:c r="W114" s="3"/>
      <x:c r="X114" s="3"/>
      <x:c r="Y114" s="3"/>
      <x:c r="Z114" s="3"/>
      <x:c r="AA114" s="3"/>
      <x:c r="AB114" s="3"/>
    </x:row>
    <x:row r="115" ht="21" customHeight="1">
      <x:c r="A115" s="2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3"/>
      <x:c r="Q115" s="3"/>
      <x:c r="R115" s="3"/>
      <x:c r="S115" s="3"/>
      <x:c r="T115" s="3"/>
      <x:c r="U115" s="3"/>
      <x:c r="V115" s="3"/>
      <x:c r="W115" s="3"/>
      <x:c r="X115" s="3"/>
      <x:c r="Y115" s="3"/>
      <x:c r="Z115" s="3"/>
      <x:c r="AA115" s="3"/>
      <x:c r="AB115" s="3"/>
    </x:row>
    <x:row r="116" ht="21" customHeight="1">
      <x:c r="A116" s="2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  <x:c r="S116" s="3"/>
      <x:c r="T116" s="3"/>
      <x:c r="U116" s="3"/>
      <x:c r="V116" s="3"/>
      <x:c r="W116" s="3"/>
      <x:c r="X116" s="3"/>
      <x:c r="Y116" s="3"/>
      <x:c r="Z116" s="3"/>
      <x:c r="AA116" s="3"/>
      <x:c r="AB116" s="3"/>
    </x:row>
    <x:row r="117" ht="21" customHeight="1">
      <x:c r="A117" s="2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3"/>
      <x:c r="Q117" s="3"/>
      <x:c r="R117" s="3"/>
      <x:c r="S117" s="3"/>
      <x:c r="T117" s="3"/>
      <x:c r="U117" s="3"/>
      <x:c r="V117" s="3"/>
      <x:c r="W117" s="3"/>
      <x:c r="X117" s="3"/>
      <x:c r="Y117" s="3"/>
      <x:c r="Z117" s="3"/>
      <x:c r="AA117" s="3"/>
      <x:c r="AB117" s="3"/>
    </x:row>
    <x:row r="118" ht="21" customHeight="1">
      <x:c r="A118" s="2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3"/>
      <x:c r="Q118" s="3"/>
      <x:c r="R118" s="3"/>
      <x:c r="S118" s="3"/>
      <x:c r="T118" s="3"/>
      <x:c r="U118" s="3"/>
      <x:c r="V118" s="3"/>
      <x:c r="W118" s="3"/>
      <x:c r="X118" s="3"/>
      <x:c r="Y118" s="3"/>
      <x:c r="Z118" s="3"/>
      <x:c r="AA118" s="3"/>
      <x:c r="AB118" s="3"/>
    </x:row>
    <x:row r="119" ht="21" customHeight="1">
      <x:c r="A119" s="2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3"/>
      <x:c r="Q119" s="3"/>
      <x:c r="R119" s="3"/>
      <x:c r="S119" s="3"/>
      <x:c r="T119" s="3"/>
      <x:c r="U119" s="3"/>
      <x:c r="V119" s="3"/>
      <x:c r="W119" s="3"/>
      <x:c r="X119" s="3"/>
      <x:c r="Y119" s="3"/>
      <x:c r="Z119" s="3"/>
      <x:c r="AA119" s="3"/>
      <x:c r="AB119" s="3"/>
    </x:row>
    <x:row r="120" ht="21" customHeight="1">
      <x:c r="A120" s="2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  <x:c r="S120" s="3"/>
      <x:c r="T120" s="3"/>
      <x:c r="U120" s="3"/>
      <x:c r="V120" s="3"/>
      <x:c r="W120" s="3"/>
      <x:c r="X120" s="3"/>
      <x:c r="Y120" s="3"/>
      <x:c r="Z120" s="3"/>
      <x:c r="AA120" s="3"/>
      <x:c r="AB120" s="3"/>
    </x:row>
    <x:row r="121" ht="21" customHeight="1">
      <x:c r="A121" s="2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3"/>
      <x:c r="Q121" s="3"/>
      <x:c r="R121" s="3"/>
      <x:c r="S121" s="3"/>
      <x:c r="T121" s="3"/>
      <x:c r="U121" s="3"/>
      <x:c r="V121" s="3"/>
      <x:c r="W121" s="3"/>
      <x:c r="X121" s="3"/>
      <x:c r="Y121" s="3"/>
      <x:c r="Z121" s="3"/>
      <x:c r="AA121" s="3"/>
      <x:c r="AB121" s="3"/>
    </x:row>
    <x:row r="122" ht="21" customHeight="1">
      <x:c r="A122" s="2"/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3"/>
      <x:c r="Q122" s="3"/>
      <x:c r="R122" s="3"/>
      <x:c r="S122" s="3"/>
      <x:c r="T122" s="3"/>
      <x:c r="U122" s="3"/>
      <x:c r="V122" s="3"/>
      <x:c r="W122" s="3"/>
      <x:c r="X122" s="3"/>
      <x:c r="Y122" s="3"/>
      <x:c r="Z122" s="3"/>
      <x:c r="AA122" s="3"/>
      <x:c r="AB122" s="3"/>
    </x:row>
    <x:row r="123" ht="21" customHeight="1">
      <x:c r="A123" s="2"/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3"/>
      <x:c r="Q123" s="3"/>
      <x:c r="R123" s="3"/>
      <x:c r="S123" s="3"/>
      <x:c r="T123" s="3"/>
      <x:c r="U123" s="3"/>
      <x:c r="V123" s="3"/>
      <x:c r="W123" s="3"/>
      <x:c r="X123" s="3"/>
      <x:c r="Y123" s="3"/>
      <x:c r="Z123" s="3"/>
      <x:c r="AA123" s="3"/>
      <x:c r="AB123" s="3"/>
    </x:row>
    <x:row r="124" ht="21" customHeight="1">
      <x:c r="A124" s="2"/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3"/>
      <x:c r="Q124" s="3"/>
      <x:c r="R124" s="3"/>
      <x:c r="S124" s="3"/>
      <x:c r="T124" s="3"/>
      <x:c r="U124" s="3"/>
      <x:c r="V124" s="3"/>
      <x:c r="W124" s="3"/>
      <x:c r="X124" s="3"/>
      <x:c r="Y124" s="3"/>
      <x:c r="Z124" s="3"/>
      <x:c r="AA124" s="3"/>
      <x:c r="AB124" s="3"/>
    </x:row>
    <x:row r="125" ht="21" customHeight="1">
      <x:c r="A125" s="2"/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3"/>
      <x:c r="Q125" s="3"/>
      <x:c r="R125" s="3"/>
      <x:c r="S125" s="3"/>
      <x:c r="T125" s="3"/>
      <x:c r="U125" s="3"/>
      <x:c r="V125" s="3"/>
      <x:c r="W125" s="3"/>
      <x:c r="X125" s="3"/>
      <x:c r="Y125" s="3"/>
      <x:c r="Z125" s="3"/>
      <x:c r="AA125" s="3"/>
      <x:c r="AB125" s="3"/>
    </x:row>
    <x:row r="126" ht="21" customHeight="1">
      <x:c r="A126" s="2"/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3"/>
      <x:c r="Q126" s="3"/>
      <x:c r="R126" s="3"/>
      <x:c r="S126" s="3"/>
      <x:c r="T126" s="3"/>
      <x:c r="U126" s="3"/>
      <x:c r="V126" s="3"/>
      <x:c r="W126" s="3"/>
      <x:c r="X126" s="3"/>
      <x:c r="Y126" s="3"/>
      <x:c r="Z126" s="3"/>
      <x:c r="AA126" s="3"/>
      <x:c r="AB126" s="3"/>
    </x:row>
    <x:row r="127" ht="21" customHeight="1">
      <x:c r="A127" s="2"/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3"/>
      <x:c r="Q127" s="3"/>
      <x:c r="R127" s="3"/>
      <x:c r="S127" s="3"/>
      <x:c r="T127" s="3"/>
      <x:c r="U127" s="3"/>
      <x:c r="V127" s="3"/>
      <x:c r="W127" s="3"/>
      <x:c r="X127" s="3"/>
      <x:c r="Y127" s="3"/>
      <x:c r="Z127" s="3"/>
      <x:c r="AA127" s="3"/>
      <x:c r="AB127" s="3"/>
    </x:row>
    <x:row r="128" ht="21" customHeight="1">
      <x:c r="A128" s="2"/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3"/>
      <x:c r="Q128" s="3"/>
      <x:c r="R128" s="3"/>
      <x:c r="S128" s="3"/>
      <x:c r="T128" s="3"/>
      <x:c r="U128" s="3"/>
      <x:c r="V128" s="3"/>
      <x:c r="W128" s="3"/>
      <x:c r="X128" s="3"/>
      <x:c r="Y128" s="3"/>
      <x:c r="Z128" s="3"/>
      <x:c r="AA128" s="3"/>
      <x:c r="AB128" s="3"/>
    </x:row>
    <x:row r="129" ht="21" customHeight="1">
      <x:c r="A129" s="2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3"/>
      <x:c r="Q129" s="3"/>
      <x:c r="R129" s="3"/>
      <x:c r="S129" s="3"/>
      <x:c r="T129" s="3"/>
      <x:c r="U129" s="3"/>
      <x:c r="V129" s="3"/>
      <x:c r="W129" s="3"/>
      <x:c r="X129" s="3"/>
      <x:c r="Y129" s="3"/>
      <x:c r="Z129" s="3"/>
      <x:c r="AA129" s="3"/>
      <x:c r="AB129" s="3"/>
    </x:row>
    <x:row r="130" ht="21" customHeight="1">
      <x:c r="A130" s="2"/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3"/>
      <x:c r="Q130" s="3"/>
      <x:c r="R130" s="3"/>
      <x:c r="S130" s="3"/>
      <x:c r="T130" s="3"/>
      <x:c r="U130" s="3"/>
      <x:c r="V130" s="3"/>
      <x:c r="W130" s="3"/>
      <x:c r="X130" s="3"/>
      <x:c r="Y130" s="3"/>
      <x:c r="Z130" s="3"/>
      <x:c r="AA130" s="3"/>
      <x:c r="AB130" s="3"/>
    </x:row>
    <x:row r="131" ht="21" customHeight="1">
      <x:c r="A131" s="2"/>
      <x:c r="B131" s="3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3"/>
      <x:c r="Q131" s="3"/>
      <x:c r="R131" s="3"/>
      <x:c r="S131" s="3"/>
      <x:c r="T131" s="3"/>
      <x:c r="U131" s="3"/>
      <x:c r="V131" s="3"/>
      <x:c r="W131" s="3"/>
      <x:c r="X131" s="3"/>
      <x:c r="Y131" s="3"/>
      <x:c r="Z131" s="3"/>
      <x:c r="AA131" s="3"/>
      <x:c r="AB131" s="3"/>
    </x:row>
    <x:row r="132" ht="21" customHeight="1">
      <x:c r="A132" s="2"/>
      <x:c r="B132" s="3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3"/>
      <x:c r="Q132" s="3"/>
      <x:c r="R132" s="3"/>
      <x:c r="S132" s="3"/>
      <x:c r="T132" s="3"/>
      <x:c r="U132" s="3"/>
      <x:c r="V132" s="3"/>
      <x:c r="W132" s="3"/>
      <x:c r="X132" s="3"/>
      <x:c r="Y132" s="3"/>
      <x:c r="Z132" s="3"/>
      <x:c r="AA132" s="3"/>
      <x:c r="AB132" s="3"/>
    </x:row>
    <x:row r="133" ht="21" customHeight="1">
      <x:c r="A133" s="2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3"/>
      <x:c r="Q133" s="3"/>
      <x:c r="R133" s="3"/>
      <x:c r="S133" s="3"/>
      <x:c r="T133" s="3"/>
      <x:c r="U133" s="3"/>
      <x:c r="V133" s="3"/>
      <x:c r="W133" s="3"/>
      <x:c r="X133" s="3"/>
      <x:c r="Y133" s="3"/>
      <x:c r="Z133" s="3"/>
      <x:c r="AA133" s="3"/>
      <x:c r="AB133" s="3"/>
    </x:row>
    <x:row r="134" ht="21" customHeight="1">
      <x:c r="A134" s="2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3"/>
      <x:c r="Q134" s="3"/>
      <x:c r="R134" s="3"/>
      <x:c r="S134" s="3"/>
      <x:c r="T134" s="3"/>
      <x:c r="U134" s="3"/>
      <x:c r="V134" s="3"/>
      <x:c r="W134" s="3"/>
      <x:c r="X134" s="3"/>
      <x:c r="Y134" s="3"/>
      <x:c r="Z134" s="3"/>
      <x:c r="AA134" s="3"/>
      <x:c r="AB134" s="3"/>
    </x:row>
    <x:row r="135" ht="21" customHeight="1">
      <x:c r="A135" s="2"/>
      <x:c r="B135" s="3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3"/>
      <x:c r="Q135" s="3"/>
      <x:c r="R135" s="3"/>
      <x:c r="S135" s="3"/>
      <x:c r="T135" s="3"/>
      <x:c r="U135" s="3"/>
      <x:c r="V135" s="3"/>
      <x:c r="W135" s="3"/>
      <x:c r="X135" s="3"/>
      <x:c r="Y135" s="3"/>
      <x:c r="Z135" s="3"/>
      <x:c r="AA135" s="3"/>
      <x:c r="AB135" s="3"/>
    </x:row>
    <x:row r="136" ht="21" customHeight="1">
      <x:c r="A136" s="2"/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3"/>
      <x:c r="Q136" s="3"/>
      <x:c r="R136" s="3"/>
      <x:c r="S136" s="3"/>
      <x:c r="T136" s="3"/>
      <x:c r="U136" s="3"/>
      <x:c r="V136" s="3"/>
      <x:c r="W136" s="3"/>
      <x:c r="X136" s="3"/>
      <x:c r="Y136" s="3"/>
      <x:c r="Z136" s="3"/>
      <x:c r="AA136" s="3"/>
      <x:c r="AB136" s="3"/>
    </x:row>
    <x:row r="137" ht="21" customHeight="1">
      <x:c r="A137" s="2"/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3"/>
      <x:c r="Q137" s="3"/>
      <x:c r="R137" s="3"/>
      <x:c r="S137" s="3"/>
      <x:c r="T137" s="3"/>
      <x:c r="U137" s="3"/>
      <x:c r="V137" s="3"/>
      <x:c r="W137" s="3"/>
      <x:c r="X137" s="3"/>
      <x:c r="Y137" s="3"/>
      <x:c r="Z137" s="3"/>
      <x:c r="AA137" s="3"/>
      <x:c r="AB137" s="3"/>
    </x:row>
    <x:row r="138" ht="21" customHeight="1">
      <x:c r="A138" s="2"/>
      <x:c r="B138" s="3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3"/>
      <x:c r="Q138" s="3"/>
      <x:c r="R138" s="3"/>
      <x:c r="S138" s="3"/>
      <x:c r="T138" s="3"/>
      <x:c r="U138" s="3"/>
      <x:c r="V138" s="3"/>
      <x:c r="W138" s="3"/>
      <x:c r="X138" s="3"/>
      <x:c r="Y138" s="3"/>
      <x:c r="Z138" s="3"/>
      <x:c r="AA138" s="3"/>
      <x:c r="AB138" s="3"/>
    </x:row>
    <x:row r="139" ht="21" customHeight="1">
      <x:c r="A139" s="2"/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3"/>
      <x:c r="Q139" s="3"/>
      <x:c r="R139" s="3"/>
      <x:c r="S139" s="3"/>
      <x:c r="T139" s="3"/>
      <x:c r="U139" s="3"/>
      <x:c r="V139" s="3"/>
      <x:c r="W139" s="3"/>
      <x:c r="X139" s="3"/>
      <x:c r="Y139" s="3"/>
      <x:c r="Z139" s="3"/>
      <x:c r="AA139" s="3"/>
      <x:c r="AB139" s="3"/>
    </x:row>
    <x:row r="140" ht="21" customHeight="1">
      <x:c r="A140" s="2"/>
      <x:c r="B140" s="3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3"/>
      <x:c r="Q140" s="3"/>
      <x:c r="R140" s="3"/>
      <x:c r="S140" s="3"/>
      <x:c r="T140" s="3"/>
      <x:c r="U140" s="3"/>
      <x:c r="V140" s="3"/>
      <x:c r="W140" s="3"/>
      <x:c r="X140" s="3"/>
      <x:c r="Y140" s="3"/>
      <x:c r="Z140" s="3"/>
      <x:c r="AA140" s="3"/>
      <x:c r="AB140" s="3"/>
    </x:row>
    <x:row r="141" ht="21" customHeight="1">
      <x:c r="A141" s="2"/>
      <x:c r="B141" s="3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3"/>
      <x:c r="Q141" s="3"/>
      <x:c r="R141" s="3"/>
      <x:c r="S141" s="3"/>
      <x:c r="T141" s="3"/>
      <x:c r="U141" s="3"/>
      <x:c r="V141" s="3"/>
      <x:c r="W141" s="3"/>
      <x:c r="X141" s="3"/>
      <x:c r="Y141" s="3"/>
      <x:c r="Z141" s="3"/>
      <x:c r="AA141" s="3"/>
      <x:c r="AB141" s="3"/>
    </x:row>
    <x:row r="142" ht="21" customHeight="1">
      <x:c r="A142" s="2"/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3"/>
      <x:c r="Q142" s="3"/>
      <x:c r="R142" s="3"/>
      <x:c r="S142" s="3"/>
      <x:c r="T142" s="3"/>
      <x:c r="U142" s="3"/>
      <x:c r="V142" s="3"/>
      <x:c r="W142" s="3"/>
      <x:c r="X142" s="3"/>
      <x:c r="Y142" s="3"/>
      <x:c r="Z142" s="3"/>
      <x:c r="AA142" s="3"/>
      <x:c r="AB142" s="3"/>
    </x:row>
    <x:row r="143" ht="21" customHeight="1">
      <x:c r="A143" s="2"/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3"/>
      <x:c r="Q143" s="3"/>
      <x:c r="R143" s="3"/>
      <x:c r="S143" s="3"/>
      <x:c r="T143" s="3"/>
      <x:c r="U143" s="3"/>
      <x:c r="V143" s="3"/>
      <x:c r="W143" s="3"/>
      <x:c r="X143" s="3"/>
      <x:c r="Y143" s="3"/>
      <x:c r="Z143" s="3"/>
      <x:c r="AA143" s="3"/>
      <x:c r="AB143" s="3"/>
    </x:row>
    <x:row r="144" ht="21" customHeight="1">
      <x:c r="A144" s="2"/>
      <x:c r="B144" s="3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3"/>
      <x:c r="Q144" s="3"/>
      <x:c r="R144" s="3"/>
      <x:c r="S144" s="3"/>
      <x:c r="T144" s="3"/>
      <x:c r="U144" s="3"/>
      <x:c r="V144" s="3"/>
      <x:c r="W144" s="3"/>
      <x:c r="X144" s="3"/>
      <x:c r="Y144" s="3"/>
      <x:c r="Z144" s="3"/>
      <x:c r="AA144" s="3"/>
      <x:c r="AB144" s="3"/>
    </x:row>
    <x:row r="145" ht="21" customHeight="1">
      <x:c r="A145" s="2"/>
      <x:c r="B145" s="3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3"/>
      <x:c r="Q145" s="3"/>
      <x:c r="R145" s="3"/>
      <x:c r="S145" s="3"/>
      <x:c r="T145" s="3"/>
      <x:c r="U145" s="3"/>
      <x:c r="V145" s="3"/>
      <x:c r="W145" s="3"/>
      <x:c r="X145" s="3"/>
      <x:c r="Y145" s="3"/>
      <x:c r="Z145" s="3"/>
      <x:c r="AA145" s="3"/>
      <x:c r="AB145" s="3"/>
    </x:row>
    <x:row r="146" ht="21" customHeight="1">
      <x:c r="A146" s="2"/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3"/>
      <x:c r="Q146" s="3"/>
      <x:c r="R146" s="3"/>
      <x:c r="S146" s="3"/>
      <x:c r="T146" s="3"/>
      <x:c r="U146" s="3"/>
      <x:c r="V146" s="3"/>
      <x:c r="W146" s="3"/>
      <x:c r="X146" s="3"/>
      <x:c r="Y146" s="3"/>
      <x:c r="Z146" s="3"/>
      <x:c r="AA146" s="3"/>
      <x:c r="AB146" s="3"/>
    </x:row>
    <x:row r="147" ht="21" customHeight="1">
      <x:c r="A147" s="2"/>
      <x:c r="B147" s="3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3"/>
      <x:c r="Q147" s="3"/>
      <x:c r="R147" s="3"/>
      <x:c r="S147" s="3"/>
      <x:c r="T147" s="3"/>
      <x:c r="U147" s="3"/>
      <x:c r="V147" s="3"/>
      <x:c r="W147" s="3"/>
      <x:c r="X147" s="3"/>
      <x:c r="Y147" s="3"/>
      <x:c r="Z147" s="3"/>
      <x:c r="AA147" s="3"/>
      <x:c r="AB147" s="3"/>
    </x:row>
    <x:row r="148" ht="21" customHeight="1">
      <x:c r="A148" s="2"/>
      <x:c r="B148" s="3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3"/>
      <x:c r="Q148" s="3"/>
      <x:c r="R148" s="3"/>
      <x:c r="S148" s="3"/>
      <x:c r="T148" s="3"/>
      <x:c r="U148" s="3"/>
      <x:c r="V148" s="3"/>
      <x:c r="W148" s="3"/>
      <x:c r="X148" s="3"/>
      <x:c r="Y148" s="3"/>
      <x:c r="Z148" s="3"/>
      <x:c r="AA148" s="3"/>
      <x:c r="AB148" s="3"/>
    </x:row>
    <x:row r="149" ht="21" customHeight="1">
      <x:c r="A149" s="2"/>
      <x:c r="B149" s="3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3"/>
      <x:c r="Q149" s="3"/>
      <x:c r="R149" s="3"/>
      <x:c r="S149" s="3"/>
      <x:c r="T149" s="3"/>
      <x:c r="U149" s="3"/>
      <x:c r="V149" s="3"/>
      <x:c r="W149" s="3"/>
      <x:c r="X149" s="3"/>
      <x:c r="Y149" s="3"/>
      <x:c r="Z149" s="3"/>
      <x:c r="AA149" s="3"/>
      <x:c r="AB149" s="3"/>
    </x:row>
    <x:row r="150" ht="21" customHeight="1">
      <x:c r="A150" s="2"/>
      <x:c r="B150" s="3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3"/>
      <x:c r="Q150" s="3"/>
      <x:c r="R150" s="3"/>
      <x:c r="S150" s="3"/>
      <x:c r="T150" s="3"/>
      <x:c r="U150" s="3"/>
      <x:c r="V150" s="3"/>
      <x:c r="W150" s="3"/>
      <x:c r="X150" s="3"/>
      <x:c r="Y150" s="3"/>
      <x:c r="Z150" s="3"/>
      <x:c r="AA150" s="3"/>
      <x:c r="AB150" s="3"/>
    </x:row>
    <x:row r="151" ht="21" customHeight="1">
      <x:c r="A151" s="2"/>
      <x:c r="B151" s="3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3"/>
      <x:c r="Q151" s="3"/>
      <x:c r="R151" s="3"/>
      <x:c r="S151" s="3"/>
      <x:c r="T151" s="3"/>
      <x:c r="U151" s="3"/>
      <x:c r="V151" s="3"/>
      <x:c r="W151" s="3"/>
      <x:c r="X151" s="3"/>
      <x:c r="Y151" s="3"/>
      <x:c r="Z151" s="3"/>
      <x:c r="AA151" s="3"/>
      <x:c r="AB151" s="3"/>
    </x:row>
    <x:row r="152" ht="21" customHeight="1">
      <x:c r="A152" s="2"/>
      <x:c r="B152" s="3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3"/>
      <x:c r="Q152" s="3"/>
      <x:c r="R152" s="3"/>
      <x:c r="S152" s="3"/>
      <x:c r="T152" s="3"/>
      <x:c r="U152" s="3"/>
      <x:c r="V152" s="3"/>
      <x:c r="W152" s="3"/>
      <x:c r="X152" s="3"/>
      <x:c r="Y152" s="3"/>
      <x:c r="Z152" s="3"/>
      <x:c r="AA152" s="3"/>
      <x:c r="AB152" s="3"/>
    </x:row>
    <x:row r="153" ht="21" customHeight="1">
      <x:c r="A153" s="2"/>
      <x:c r="B153" s="3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3"/>
      <x:c r="Q153" s="3"/>
      <x:c r="R153" s="3"/>
      <x:c r="S153" s="3"/>
      <x:c r="T153" s="3"/>
      <x:c r="U153" s="3"/>
      <x:c r="V153" s="3"/>
      <x:c r="W153" s="3"/>
      <x:c r="X153" s="3"/>
      <x:c r="Y153" s="3"/>
      <x:c r="Z153" s="3"/>
      <x:c r="AA153" s="3"/>
      <x:c r="AB153" s="3"/>
    </x:row>
    <x:row r="154" ht="21" customHeight="1">
      <x:c r="A154" s="2"/>
      <x:c r="B154" s="3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3"/>
      <x:c r="Q154" s="3"/>
      <x:c r="R154" s="3"/>
      <x:c r="S154" s="3"/>
      <x:c r="T154" s="3"/>
      <x:c r="U154" s="3"/>
      <x:c r="V154" s="3"/>
      <x:c r="W154" s="3"/>
      <x:c r="X154" s="3"/>
      <x:c r="Y154" s="3"/>
      <x:c r="Z154" s="3"/>
      <x:c r="AA154" s="3"/>
      <x:c r="AB154" s="3"/>
    </x:row>
    <x:row r="155" ht="21" customHeight="1">
      <x:c r="A155" s="2"/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3"/>
      <x:c r="Q155" s="3"/>
      <x:c r="R155" s="3"/>
      <x:c r="S155" s="3"/>
      <x:c r="T155" s="3"/>
      <x:c r="U155" s="3"/>
      <x:c r="V155" s="3"/>
      <x:c r="W155" s="3"/>
      <x:c r="X155" s="3"/>
      <x:c r="Y155" s="3"/>
      <x:c r="Z155" s="3"/>
      <x:c r="AA155" s="3"/>
      <x:c r="AB155" s="3"/>
    </x:row>
    <x:row r="156" ht="21" customHeight="1">
      <x:c r="A156" s="2"/>
      <x:c r="B156" s="3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3"/>
      <x:c r="Q156" s="3"/>
      <x:c r="R156" s="3"/>
      <x:c r="S156" s="3"/>
      <x:c r="T156" s="3"/>
      <x:c r="U156" s="3"/>
      <x:c r="V156" s="3"/>
      <x:c r="W156" s="3"/>
      <x:c r="X156" s="3"/>
      <x:c r="Y156" s="3"/>
      <x:c r="Z156" s="3"/>
      <x:c r="AA156" s="3"/>
      <x:c r="AB156" s="3"/>
    </x:row>
    <x:row r="157" ht="21" customHeight="1">
      <x:c r="A157" s="2"/>
      <x:c r="B157" s="3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3"/>
      <x:c r="Q157" s="3"/>
      <x:c r="R157" s="3"/>
      <x:c r="S157" s="3"/>
      <x:c r="T157" s="3"/>
      <x:c r="U157" s="3"/>
      <x:c r="V157" s="3"/>
      <x:c r="W157" s="3"/>
      <x:c r="X157" s="3"/>
      <x:c r="Y157" s="3"/>
      <x:c r="Z157" s="3"/>
      <x:c r="AA157" s="3"/>
      <x:c r="AB157" s="3"/>
    </x:row>
    <x:row r="158" ht="21" customHeight="1">
      <x:c r="A158" s="2"/>
      <x:c r="B158" s="3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3"/>
      <x:c r="Q158" s="3"/>
      <x:c r="R158" s="3"/>
      <x:c r="S158" s="3"/>
      <x:c r="T158" s="3"/>
      <x:c r="U158" s="3"/>
      <x:c r="V158" s="3"/>
      <x:c r="W158" s="3"/>
      <x:c r="X158" s="3"/>
      <x:c r="Y158" s="3"/>
      <x:c r="Z158" s="3"/>
      <x:c r="AA158" s="3"/>
      <x:c r="AB158" s="3"/>
    </x:row>
    <x:row r="159" ht="21" customHeight="1">
      <x:c r="A159" s="2"/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3"/>
      <x:c r="Q159" s="3"/>
      <x:c r="R159" s="3"/>
      <x:c r="S159" s="3"/>
      <x:c r="T159" s="3"/>
      <x:c r="U159" s="3"/>
      <x:c r="V159" s="3"/>
      <x:c r="W159" s="3"/>
      <x:c r="X159" s="3"/>
      <x:c r="Y159" s="3"/>
      <x:c r="Z159" s="3"/>
      <x:c r="AA159" s="3"/>
      <x:c r="AB159" s="3"/>
    </x:row>
    <x:row r="160" ht="21" customHeight="1">
      <x:c r="A160" s="2"/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3"/>
      <x:c r="Q160" s="3"/>
      <x:c r="R160" s="3"/>
      <x:c r="S160" s="3"/>
      <x:c r="T160" s="3"/>
      <x:c r="U160" s="3"/>
      <x:c r="V160" s="3"/>
      <x:c r="W160" s="3"/>
      <x:c r="X160" s="3"/>
      <x:c r="Y160" s="3"/>
      <x:c r="Z160" s="3"/>
      <x:c r="AA160" s="3"/>
      <x:c r="AB160" s="3"/>
    </x:row>
    <x:row r="161" ht="21" customHeight="1">
      <x:c r="A161" s="2"/>
      <x:c r="B161" s="3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3"/>
      <x:c r="Q161" s="3"/>
      <x:c r="R161" s="3"/>
      <x:c r="S161" s="3"/>
      <x:c r="T161" s="3"/>
      <x:c r="U161" s="3"/>
      <x:c r="V161" s="3"/>
      <x:c r="W161" s="3"/>
      <x:c r="X161" s="3"/>
      <x:c r="Y161" s="3"/>
      <x:c r="Z161" s="3"/>
      <x:c r="AA161" s="3"/>
      <x:c r="AB161" s="3"/>
    </x:row>
    <x:row r="162" ht="21" customHeight="1">
      <x:c r="A162" s="2"/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3"/>
      <x:c r="Q162" s="3"/>
      <x:c r="R162" s="3"/>
      <x:c r="S162" s="3"/>
      <x:c r="T162" s="3"/>
      <x:c r="U162" s="3"/>
      <x:c r="V162" s="3"/>
      <x:c r="W162" s="3"/>
      <x:c r="X162" s="3"/>
      <x:c r="Y162" s="3"/>
      <x:c r="Z162" s="3"/>
      <x:c r="AA162" s="3"/>
      <x:c r="AB162" s="3"/>
    </x:row>
    <x:row r="163" ht="21" customHeight="1">
      <x:c r="A163" s="2"/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3"/>
      <x:c r="Q163" s="3"/>
      <x:c r="R163" s="3"/>
      <x:c r="S163" s="3"/>
      <x:c r="T163" s="3"/>
      <x:c r="U163" s="3"/>
      <x:c r="V163" s="3"/>
      <x:c r="W163" s="3"/>
      <x:c r="X163" s="3"/>
      <x:c r="Y163" s="3"/>
      <x:c r="Z163" s="3"/>
      <x:c r="AA163" s="3"/>
      <x:c r="AB163" s="3"/>
    </x:row>
    <x:row r="164" ht="21" customHeight="1">
      <x:c r="A164" s="2"/>
      <x:c r="B164" s="3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3"/>
      <x:c r="Q164" s="3"/>
      <x:c r="R164" s="3"/>
      <x:c r="S164" s="3"/>
      <x:c r="T164" s="3"/>
      <x:c r="U164" s="3"/>
      <x:c r="V164" s="3"/>
      <x:c r="W164" s="3"/>
      <x:c r="X164" s="3"/>
      <x:c r="Y164" s="3"/>
      <x:c r="Z164" s="3"/>
      <x:c r="AA164" s="3"/>
      <x:c r="AB164" s="3"/>
    </x:row>
    <x:row r="165" ht="21" customHeight="1">
      <x:c r="A165" s="2"/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3"/>
      <x:c r="Q165" s="3"/>
      <x:c r="R165" s="3"/>
      <x:c r="S165" s="3"/>
      <x:c r="T165" s="3"/>
      <x:c r="U165" s="3"/>
      <x:c r="V165" s="3"/>
      <x:c r="W165" s="3"/>
      <x:c r="X165" s="3"/>
      <x:c r="Y165" s="3"/>
      <x:c r="Z165" s="3"/>
      <x:c r="AA165" s="3"/>
      <x:c r="AB165" s="3"/>
    </x:row>
    <x:row r="166" ht="21" customHeight="1">
      <x:c r="A166" s="2"/>
      <x:c r="B166" s="3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3"/>
      <x:c r="Q166" s="3"/>
      <x:c r="R166" s="3"/>
      <x:c r="S166" s="3"/>
      <x:c r="T166" s="3"/>
      <x:c r="U166" s="3"/>
      <x:c r="V166" s="3"/>
      <x:c r="W166" s="3"/>
      <x:c r="X166" s="3"/>
      <x:c r="Y166" s="3"/>
      <x:c r="Z166" s="3"/>
      <x:c r="AA166" s="3"/>
      <x:c r="AB166" s="3"/>
    </x:row>
    <x:row r="167" ht="21" customHeight="1">
      <x:c r="A167" s="2"/>
      <x:c r="B167" s="3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3"/>
      <x:c r="Q167" s="3"/>
      <x:c r="R167" s="3"/>
      <x:c r="S167" s="3"/>
      <x:c r="T167" s="3"/>
      <x:c r="U167" s="3"/>
      <x:c r="V167" s="3"/>
      <x:c r="W167" s="3"/>
      <x:c r="X167" s="3"/>
      <x:c r="Y167" s="3"/>
      <x:c r="Z167" s="3"/>
      <x:c r="AA167" s="3"/>
      <x:c r="AB167" s="3"/>
    </x:row>
    <x:row r="168" ht="21" customHeight="1">
      <x:c r="A168" s="2"/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3"/>
      <x:c r="Q168" s="3"/>
      <x:c r="R168" s="3"/>
      <x:c r="S168" s="3"/>
      <x:c r="T168" s="3"/>
      <x:c r="U168" s="3"/>
      <x:c r="V168" s="3"/>
      <x:c r="W168" s="3"/>
      <x:c r="X168" s="3"/>
      <x:c r="Y168" s="3"/>
      <x:c r="Z168" s="3"/>
      <x:c r="AA168" s="3"/>
      <x:c r="AB168" s="3"/>
    </x:row>
    <x:row r="169" ht="21" customHeight="1">
      <x:c r="A169" s="2"/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3"/>
      <x:c r="Q169" s="3"/>
      <x:c r="R169" s="3"/>
      <x:c r="S169" s="3"/>
      <x:c r="T169" s="3"/>
      <x:c r="U169" s="3"/>
      <x:c r="V169" s="3"/>
      <x:c r="W169" s="3"/>
      <x:c r="X169" s="3"/>
      <x:c r="Y169" s="3"/>
      <x:c r="Z169" s="3"/>
      <x:c r="AA169" s="3"/>
      <x:c r="AB169" s="3"/>
    </x:row>
    <x:row r="170" ht="21" customHeight="1">
      <x:c r="A170" s="2"/>
      <x:c r="B170" s="3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3"/>
      <x:c r="Q170" s="3"/>
      <x:c r="R170" s="3"/>
      <x:c r="S170" s="3"/>
      <x:c r="T170" s="3"/>
      <x:c r="U170" s="3"/>
      <x:c r="V170" s="3"/>
      <x:c r="W170" s="3"/>
      <x:c r="X170" s="3"/>
      <x:c r="Y170" s="3"/>
      <x:c r="Z170" s="3"/>
      <x:c r="AA170" s="3"/>
      <x:c r="AB170" s="3"/>
    </x:row>
    <x:row r="171" ht="21" customHeight="1">
      <x:c r="A171" s="2"/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3"/>
      <x:c r="Q171" s="3"/>
      <x:c r="R171" s="3"/>
      <x:c r="S171" s="3"/>
      <x:c r="T171" s="3"/>
      <x:c r="U171" s="3"/>
      <x:c r="V171" s="3"/>
      <x:c r="W171" s="3"/>
      <x:c r="X171" s="3"/>
      <x:c r="Y171" s="3"/>
      <x:c r="Z171" s="3"/>
      <x:c r="AA171" s="3"/>
      <x:c r="AB171" s="3"/>
    </x:row>
    <x:row r="172" ht="21" customHeight="1">
      <x:c r="A172" s="2"/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3"/>
      <x:c r="Q172" s="3"/>
      <x:c r="R172" s="3"/>
      <x:c r="S172" s="3"/>
      <x:c r="T172" s="3"/>
      <x:c r="U172" s="3"/>
      <x:c r="V172" s="3"/>
      <x:c r="W172" s="3"/>
      <x:c r="X172" s="3"/>
      <x:c r="Y172" s="3"/>
      <x:c r="Z172" s="3"/>
      <x:c r="AA172" s="3"/>
      <x:c r="AB172" s="3"/>
    </x:row>
    <x:row r="173" ht="21" customHeight="1">
      <x:c r="A173" s="2"/>
      <x:c r="B173" s="3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3"/>
      <x:c r="Q173" s="3"/>
      <x:c r="R173" s="3"/>
      <x:c r="S173" s="3"/>
      <x:c r="T173" s="3"/>
      <x:c r="U173" s="3"/>
      <x:c r="V173" s="3"/>
      <x:c r="W173" s="3"/>
      <x:c r="X173" s="3"/>
      <x:c r="Y173" s="3"/>
      <x:c r="Z173" s="3"/>
      <x:c r="AA173" s="3"/>
      <x:c r="AB173" s="3"/>
    </x:row>
    <x:row r="174" ht="21" customHeight="1">
      <x:c r="A174" s="2"/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3"/>
      <x:c r="Q174" s="3"/>
      <x:c r="R174" s="3"/>
      <x:c r="S174" s="3"/>
      <x:c r="T174" s="3"/>
      <x:c r="U174" s="3"/>
      <x:c r="V174" s="3"/>
      <x:c r="W174" s="3"/>
      <x:c r="X174" s="3"/>
      <x:c r="Y174" s="3"/>
      <x:c r="Z174" s="3"/>
      <x:c r="AA174" s="3"/>
      <x:c r="AB174" s="3"/>
    </x:row>
    <x:row r="175" ht="21" customHeight="1">
      <x:c r="A175" s="2"/>
      <x:c r="B175" s="3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3"/>
      <x:c r="Q175" s="3"/>
      <x:c r="R175" s="3"/>
      <x:c r="S175" s="3"/>
      <x:c r="T175" s="3"/>
      <x:c r="U175" s="3"/>
      <x:c r="V175" s="3"/>
      <x:c r="W175" s="3"/>
      <x:c r="X175" s="3"/>
      <x:c r="Y175" s="3"/>
      <x:c r="Z175" s="3"/>
      <x:c r="AA175" s="3"/>
      <x:c r="AB175" s="3"/>
    </x:row>
    <x:row r="176" ht="21" customHeight="1">
      <x:c r="A176" s="2"/>
      <x:c r="B176" s="3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3"/>
      <x:c r="Q176" s="3"/>
      <x:c r="R176" s="3"/>
      <x:c r="S176" s="3"/>
      <x:c r="T176" s="3"/>
      <x:c r="U176" s="3"/>
      <x:c r="V176" s="3"/>
      <x:c r="W176" s="3"/>
      <x:c r="X176" s="3"/>
      <x:c r="Y176" s="3"/>
      <x:c r="Z176" s="3"/>
      <x:c r="AA176" s="3"/>
      <x:c r="AB176" s="3"/>
    </x:row>
    <x:row r="177" ht="21" customHeight="1">
      <x:c r="A177" s="2"/>
      <x:c r="B177" s="3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3"/>
      <x:c r="Q177" s="3"/>
      <x:c r="R177" s="3"/>
      <x:c r="S177" s="3"/>
      <x:c r="T177" s="3"/>
      <x:c r="U177" s="3"/>
      <x:c r="V177" s="3"/>
      <x:c r="W177" s="3"/>
      <x:c r="X177" s="3"/>
      <x:c r="Y177" s="3"/>
      <x:c r="Z177" s="3"/>
      <x:c r="AA177" s="3"/>
      <x:c r="AB177" s="3"/>
    </x:row>
    <x:row r="178" ht="21" customHeight="1">
      <x:c r="A178" s="2"/>
      <x:c r="B178" s="3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3"/>
      <x:c r="Q178" s="3"/>
      <x:c r="R178" s="3"/>
      <x:c r="S178" s="3"/>
      <x:c r="T178" s="3"/>
      <x:c r="U178" s="3"/>
      <x:c r="V178" s="3"/>
      <x:c r="W178" s="3"/>
      <x:c r="X178" s="3"/>
      <x:c r="Y178" s="3"/>
      <x:c r="Z178" s="3"/>
      <x:c r="AA178" s="3"/>
      <x:c r="AB178" s="3"/>
    </x:row>
    <x:row r="179" ht="21" customHeight="1">
      <x:c r="A179" s="2"/>
      <x:c r="B179" s="3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3"/>
      <x:c r="Q179" s="3"/>
      <x:c r="R179" s="3"/>
      <x:c r="S179" s="3"/>
      <x:c r="T179" s="3"/>
      <x:c r="U179" s="3"/>
      <x:c r="V179" s="3"/>
      <x:c r="W179" s="3"/>
      <x:c r="X179" s="3"/>
      <x:c r="Y179" s="3"/>
      <x:c r="Z179" s="3"/>
      <x:c r="AA179" s="3"/>
      <x:c r="AB179" s="3"/>
    </x:row>
    <x:row r="180" ht="21" customHeight="1">
      <x:c r="A180" s="2"/>
      <x:c r="B180" s="3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3"/>
      <x:c r="Q180" s="3"/>
      <x:c r="R180" s="3"/>
      <x:c r="S180" s="3"/>
      <x:c r="T180" s="3"/>
      <x:c r="U180" s="3"/>
      <x:c r="V180" s="3"/>
      <x:c r="W180" s="3"/>
      <x:c r="X180" s="3"/>
      <x:c r="Y180" s="3"/>
      <x:c r="Z180" s="3"/>
      <x:c r="AA180" s="3"/>
      <x:c r="AB180" s="3"/>
    </x:row>
  </x:sheetData>
  <x:mergeCells>
    <x:mergeCell ref="A1:H1"/>
    <x:mergeCell ref="A3:H3"/>
    <x:mergeCell ref="A63:H63"/>
    <x:mergeCell ref="A64:H64"/>
    <x:mergeCell ref="A65:H65"/>
    <x:mergeCell ref="A66:H66"/>
    <x:mergeCell ref="A67:H67"/>
    <x:mergeCell ref="A68:H68"/>
    <x:mergeCell ref="A69:H69"/>
    <x:mergeCell ref="A70:H70"/>
    <x:mergeCell ref="A71:H71"/>
    <x:mergeCell ref="A72:H72"/>
    <x:mergeCell ref="A73:H73"/>
    <x:mergeCell ref="A74:H74"/>
    <x:mergeCell ref="A75:H75"/>
  </x:mergeCells>
  <x:pageMargins left="0.7" right="0.7" top="0.75" bottom="0.75" header="0.3" footer="0.3"/>
</x:worksheet>
</file>