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decc2c592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4333eecd0e3848dd"/>
    <x:sheet xmlns:r="http://schemas.openxmlformats.org/officeDocument/2006/relationships" name="Кандидаты" sheetId="2" r:id="Rb32512ac7f734185"/>
    <x:sheet xmlns:r="http://schemas.openxmlformats.org/officeDocument/2006/relationships" name="История" sheetId="3" r:id="R26f244199d22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.0%"/>
    <x:numFmt numFmtId="202" formatCode="#,##0"/>
    <x:numFmt numFmtId="203" formatCode="yyyy-mm-dd"/>
    <x:numFmt numFmtId="204" formatCode="#,##0.00"/>
  </x:numFmts>
  <x:fonts count="5">
    <x:font>
      <x:sz val="11"/>
      <x:name val="Carlito"/>
    </x:font>
    <x:font>
      <x:sz val="10"/>
      <x:name val="Arial"/>
    </x:font>
    <x:font>
      <x:b/>
      <x:sz val="15"/>
      <x:color rgb="FF23445E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202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ceb1412ca4f8e" /><Relationship Type="http://schemas.openxmlformats.org/officeDocument/2006/relationships/theme" Target="/xl/theme/theme1.xml" Id="R0bb8da6637514803" /><Relationship Type="http://schemas.openxmlformats.org/officeDocument/2006/relationships/sharedStrings" Target="/xl/sharedStrings.xml" Id="R28cd3651be454906" /><Relationship Type="http://schemas.openxmlformats.org/officeDocument/2006/relationships/worksheet" Target="/xl/worksheets/sheet1.xml" Id="R4333eecd0e3848dd" /><Relationship Type="http://schemas.openxmlformats.org/officeDocument/2006/relationships/worksheet" Target="/xl/worksheets/sheet2.xml" Id="Rb32512ac7f734185" /><Relationship Type="http://schemas.openxmlformats.org/officeDocument/2006/relationships/worksheet" Target="/xl/worksheets/sheet3.xml" Id="R26f244199d224558" /></Relationships>
</file>

<file path=xl/tables/table1.xml><?xml version="1.0" encoding="utf-8"?>
<x:table xmlns:x="http://schemas.openxmlformats.org/spreadsheetml/2006/main" id="1" name="CandidateRegister" displayName="CandidateRegister" ref="A7:X44" headerRowCount="1" totalsRowCount="0" totalsRowShown="0">
  <x:tableColumns count="24">
    <x:tableColumn id="1" name="ID ЕИСЖС"/>
    <x:tableColumn id="2" name="Проект"/>
    <x:tableColumn id="3" name="Результат проверки"/>
    <x:tableColumn id="4" name="Месяц в базе"/>
    <x:tableColumn id="5" name="Класс"/>
    <x:tableColumn id="6" name="Продано, м²"/>
    <x:tableColumn id="7" name="Площадь квартир, м²"/>
    <x:tableColumn id="8" name="Доля площади"/>
    <x:tableColumn id="9" name="Продано квартир, шт."/>
    <x:tableColumn id="10" name="Квартир в корпусе"/>
    <x:tableColumn id="11" name="Доля квартир"/>
    <x:tableColumn id="12" name="Расторгнуто в месяце, м²"/>
    <x:tableColumn id="13" name="Чистые продажи месяца, м²"/>
    <x:tableColumn id="14" name="Расторгнуто с месяца, м²"/>
    <x:tableColumn id="15" name="Первое наблюдение"/>
    <x:tableColumn id="16" name="Публикация проекта"/>
    <x:tableColumn id="17" name="Продано ранее, м²"/>
    <x:tableColumn id="18" name="Среднее 6 наблюдений до, м²"/>
    <x:tableColumn id="19" name="Счётчик продаж в Excel"/>
    <x:tableColumn id="20" name="Причина / следующая проверка"/>
    <x:tableColumn id="21" name="Источник назначения / карточка"/>
    <x:tableColumn id="22" name="Цена события, руб./м²"/>
    <x:tableColumn id="23" name="Цена 6 наблюдений до, руб./м²"/>
    <x:tableColumn id="24" name="Цена к предыдуще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History" displayName="MonthlyHistory" ref="A6:H752" headerRowCount="1" totalsRowCount="0" totalsRowShown="0">
  <x:tableColumns count="8">
    <x:tableColumn id="1" name="ID ЕИСЖС"/>
    <x:tableColumn id="2" name="Месяц"/>
    <x:tableColumn id="3" name="Проект"/>
    <x:tableColumn id="4" name="Куплено квартир, шт."/>
    <x:tableColumn id="5" name="Куплено, м²"/>
    <x:tableColumn id="6" name="Куплено, руб."/>
    <x:tableColumn id="7" name="Расторгнуто, м²"/>
    <x:tableColumn id="8" name="Чистые продажи, м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72146c3204a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489894a0434325" /></Relationships>
</file>

<file path=xl/worksheets/sheet1.xml><?xml version="1.0" encoding="utf-8"?>
<x:worksheet xmlns:x="http://schemas.openxmlformats.org/spreadsheetml/2006/main">
  <x:sheetPr>
    <x:tabColor rgb="FF23445E"/>
  </x:sheetPr>
  <x:sheetViews>
    <x:sheetView showGridLines="0" workbookViewId="0"/>
  </x:sheetViews>
  <x:sheetFormatPr defaultRowHeight="15"/>
  <x:cols>
    <x:col min="1" max="1" width="53" hidden="0" customWidth="1"/>
    <x:col min="2" max="2" width="15" hidden="0" customWidth="1"/>
    <x:col min="3" max="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Москва: поиск покупок для реновации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 t="str">
        <x:v>Период продаж: январь 2021 — сентябрь 2026. Сопоставление со срезом объектов от 23.10.2026.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40" customHeight="1">
      <x:c r="A6" s="7" t="str">
        <x:v>Результат проверки</x:v>
      </x:c>
      <x:c r="B6" s="7" t="str">
        <x:v>Корпусов</x:v>
      </x:c>
      <x:c r="C6" s="7" t="str">
        <x:v>Пиковые записи, м²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30" customHeight="1">
      <x:c r="A7" s="24" t="str">
        <x:v>Передача фонду подтверждена</x:v>
      </x:c>
      <x:c r="B7" s="1" t="n">
        <x:f>COUNTIF('Кандидаты'!$C$8:$C$44,A7)</x:f>
        <x:v>2</x:v>
      </x:c>
      <x:c r="C7" s="22" t="n">
        <x:f>SUMIF('Кандидаты'!$C$8:$C$44,A7,'Кандидаты'!$F$8:$F$44)</x:f>
        <x:v>69720.07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30" customHeight="1">
      <x:c r="A8" s="24" t="str">
        <x:v>Реновация: покупатель косвенно</x:v>
      </x:c>
      <x:c r="B8" s="1" t="n">
        <x:f>COUNTIF('Кандидаты'!$C$8:$C$44,A8)</x:f>
        <x:v>18</x:v>
      </x:c>
      <x:c r="C8" s="22" t="n">
        <x:f>SUMIF('Кандидаты'!$C$8:$C$44,A8,'Кандидаты'!$F$8:$F$44)</x:f>
        <x:v>385176.85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30" customHeight="1">
      <x:c r="A9" s="24" t="str">
        <x:v>Покупатель не установлен</x:v>
      </x:c>
      <x:c r="B9" s="1" t="n">
        <x:f>COUNTIF('Кандидаты'!$C$8:$C$44,A9)</x:f>
        <x:v>8</x:v>
      </x:c>
      <x:c r="C9" s="22" t="n">
        <x:f>SUMIF('Кандидаты'!$C$8:$C$44,A9,'Кандидаты'!$F$8:$F$44)</x:f>
        <x:v>161318.77000000002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30" customHeight="1">
      <x:c r="A10" s="24" t="str">
        <x:v>Проверить накопленный объём</x:v>
      </x:c>
      <x:c r="B10" s="1" t="n">
        <x:f>COUNTIF('Кандидаты'!$C$8:$C$44,A10)</x:f>
        <x:v>7</x:v>
      </x:c>
      <x:c r="C10" s="22" t="n">
        <x:f>SUMIF('Кандидаты'!$C$8:$C$44,A10,'Кандидаты'!$F$8:$F$44)</x:f>
        <x:v>90616.5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30" customHeight="1">
      <x:c r="A11" s="24" t="str">
        <x:v>Сверить исходные данные</x:v>
      </x:c>
      <x:c r="B11" s="1" t="n">
        <x:f>COUNTIF('Кандидаты'!$C$8:$C$44,A11)</x:f>
        <x:v>1</x:v>
      </x:c>
      <x:c r="C11" s="22" t="n">
        <x:f>SUMIF('Кандидаты'!$C$8:$C$44,A11,'Кандидаты'!$F$8:$F$44)</x:f>
        <x:v>5473.35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30" customHeight="1">
      <x:c r="A12" s="24" t="str">
        <x:v>Пакет полностью компенсирован</x:v>
      </x:c>
      <x:c r="B12" s="1" t="n">
        <x:f>COUNTIF('Кандидаты'!$C$8:$C$44,A12)</x:f>
        <x:v>1</x:v>
      </x:c>
      <x:c r="C12" s="22" t="n">
        <x:f>SUMIF('Кандидаты'!$C$8:$C$44,A12,'Кандидаты'!$F$8:$F$44)</x:f>
        <x:v>8959.8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21" t="str">
        <x:v>Всего корпусов</x:v>
      </x:c>
      <x:c r="B13" s="21" t="n">
        <x:f>SUM(B7:B12)</x:f>
        <x:v>37</x:v>
      </x:c>
      <x:c r="C13" s="23" t="n">
        <x:f>SUM(C7:C12)</x:f>
        <x:v>721265.34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21" t="str">
        <x:v>Как читать результаты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34" customHeight="1">
      <x:c r="A17" s="24" t="str">
        <x:v>Отбор: (покупки ≥5000 м² ИЛИ ≥100 квартир) И (≥50% текущей площади квартир ИЛИ ≥50% числа квартир корпуса).</x:v>
      </x:c>
      <x:c r="B17" s="24"/>
      <x:c r="C17" s="24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34" customHeight="1">
      <x:c r="A18" s="24" t="str">
        <x:v>Класс жилья не ограничивал поиск. Фонд как застройщик исключён по ИНН 7703434808: его собственные продажи не равны покупкам фонда.</x:v>
      </x:c>
      <x:c r="B18" s="24"/>
      <x:c r="C18" s="24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34" customHeight="1">
      <x:c r="A19" s="24" t="str">
        <x:v>Проверено 375 крупных месячных записей. Фильтр выделил 38 записей по 37 корпусам; для реестра выбран максимум площади на корпус.</x:v>
      </x:c>
      <x:c r="B19" s="24"/>
      <x:c r="C19" s="24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34" customHeight="1">
      <x:c r="A20" s="24" t="str">
        <x:v>20 корпусов уже имели подтверждённую связь с реновацией; 17 новых. Дополнительных подтверждённых покупателей-фонда не установлено.</x:v>
      </x:c>
      <x:c r="B20" s="24"/>
      <x:c r="C20" s="24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34" customHeight="1">
      <x:c r="A21" s="24" t="str">
        <x:v>Реновация: покупатель косвенно — назначение дома подтверждено, но покупатель пакетной сделки не проверен договором или выпиской.</x:v>
      </x:c>
      <x:c r="B21" s="24"/>
      <x:c r="C21" s="24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34" customHeight="1">
      <x:c r="A22" s="24" t="str">
        <x:v>Сумма пиковых записей — результат отбора, а не оценка покупок фонда. Первое наблюдение может содержать накопленные продажи.</x:v>
      </x:c>
      <x:c r="B22" s="24"/>
      <x:c r="C22" s="24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34" customHeight="1">
      <x:c r="A23" s="24" t="str">
        <x:v>Доли рассчитаны по характеристикам корпуса на 23.10.2026, а не на дату продажи: изменения проекта могут менять знаменатель.</x:v>
      </x:c>
      <x:c r="B23" s="24"/>
      <x:c r="C23" s="24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34" customHeight="1">
      <x:c r="A24" s="24" t="str">
        <x:v>Расторжения с месяца включают месяц события; они не сопоставлены с конкретными договорами. Отсутствие расторжений не доказывает покупателя.</x:v>
      </x:c>
      <x:c r="B24" s="24"/>
      <x:c r="C24" s="24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34" customHeight="1">
      <x:c r="A25" s="24" t="str">
        <x:v>Из прежней группы 21 объекта не прошёл размерный порог «Дом 56», ID 60987: 3363,35 м² и 56 квартир. Это ожидаемый пропуск фильтра.</x:v>
      </x:c>
      <x:c r="B25" s="24"/>
      <x:c r="C25" s="24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34" customHeight="1">
      <x:c r="A26" s="24" t="str">
        <x:v>Не найденные фильтром пакеты меньше порога и покупки частями могут сохраняться в статистике. Новые объёмы в долю фонда не добавлены.</x:v>
      </x:c>
      <x:c r="B26" s="24"/>
      <x:c r="C26" s="24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</x:sheetData>
  <x:mergeCells>
    <x:mergeCell ref="A17:C17"/>
    <x:mergeCell ref="A18:C18"/>
    <x:mergeCell ref="A19:C19"/>
    <x:mergeCell ref="A20:C20"/>
    <x:mergeCell ref="A21:C21"/>
    <x:mergeCell ref="A22:C22"/>
    <x:mergeCell ref="A23:C23"/>
    <x:mergeCell ref="A24:C24"/>
    <x:mergeCell ref="A25:C25"/>
    <x:mergeCell ref="A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2" max="22" width="25" hidden="0" customWidth="1"/>
    <x:col min="23" max="23" width="25" hidden="0" customWidth="1"/>
    <x:col min="24" max="24" width="25" hidden="0" customWidth="1"/>
    <x:col min="1" max="1" width="12" hidden="0" customWidth="1"/>
    <x:col min="2" max="2" width="28" hidden="0" customWidth="1"/>
    <x:col min="3" max="3" width="30" hidden="0" customWidth="1"/>
    <x:col min="4" max="4" width="13" hidden="0" customWidth="1"/>
    <x:col min="5" max="5" width="14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20" hidden="0" customWidth="1"/>
    <x:col min="13" max="13" width="21" hidden="0" customWidth="1"/>
    <x:col min="14" max="14" width="21" hidden="0" customWidth="1"/>
    <x:col min="15" max="15" width="18" hidden="0" customWidth="1"/>
    <x:col min="16" max="16" width="18" hidden="0" customWidth="1"/>
    <x:col min="17" max="17" width="20" hidden="0" customWidth="1"/>
    <x:col min="18" max="18" width="22" hidden="0" customWidth="1"/>
    <x:col min="19" max="19" width="20" hidden="0" customWidth="1"/>
    <x:col min="20" max="20" width="78" hidden="0" customWidth="1"/>
    <x:col min="21" max="21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Крупные месячные продажи: реестр проверки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 t="str">
        <x:v>Источник чисел: prodoma.sales, январь 2021 — сентябрь 2026; характеристики — выгрузка ЕИСЖС от 23.10.2026.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 t="str">
        <x:v>По одному максимальному месяцу на корпус. Второй месяц ID 45258 сохранён в истории и указан в причине. Покупатель косвенно ≠ подтверждённый фонд.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40" customHeight="1">
      <x:c r="A7" s="7" t="str">
        <x:v>ID ЕИСЖС</x:v>
      </x:c>
      <x:c r="B7" s="7" t="str">
        <x:v>Проект</x:v>
      </x:c>
      <x:c r="C7" s="7" t="str">
        <x:v>Результат проверки</x:v>
      </x:c>
      <x:c r="D7" s="7" t="str">
        <x:v>Месяц в базе</x:v>
      </x:c>
      <x:c r="E7" s="7" t="str">
        <x:v>Класс</x:v>
      </x:c>
      <x:c r="F7" s="7" t="str">
        <x:v>Продано, м²</x:v>
      </x:c>
      <x:c r="G7" s="7" t="str">
        <x:v>Площадь квартир, м²</x:v>
      </x:c>
      <x:c r="H7" s="7" t="str">
        <x:v>Доля площади</x:v>
      </x:c>
      <x:c r="I7" s="7" t="str">
        <x:v>Продано квартир, шт.</x:v>
      </x:c>
      <x:c r="J7" s="7" t="str">
        <x:v>Квартир в корпусе</x:v>
      </x:c>
      <x:c r="K7" s="7" t="str">
        <x:v>Доля квартир</x:v>
      </x:c>
      <x:c r="L7" s="7" t="str">
        <x:v>Расторгнуто в месяце, м²</x:v>
      </x:c>
      <x:c r="M7" s="7" t="str">
        <x:v>Чистые продажи месяца, м²</x:v>
      </x:c>
      <x:c r="N7" s="7" t="str">
        <x:v>Расторгнуто с месяца, м²</x:v>
      </x:c>
      <x:c r="O7" s="7" t="str">
        <x:v>Первое наблюдение</x:v>
      </x:c>
      <x:c r="P7" s="7" t="str">
        <x:v>Публикация проекта</x:v>
      </x:c>
      <x:c r="Q7" s="7" t="str">
        <x:v>Продано ранее, м²</x:v>
      </x:c>
      <x:c r="R7" s="7" t="str">
        <x:v>Среднее 6 наблюдений до, м²</x:v>
      </x:c>
      <x:c r="S7" s="7" t="str">
        <x:v>Счётчик продаж в Excel</x:v>
      </x:c>
      <x:c r="T7" s="7" t="str">
        <x:v>Причина / следующая проверка</x:v>
      </x:c>
      <x:c r="U7" s="7" t="str">
        <x:v>Источник назначения / карточка</x:v>
      </x:c>
      <x:c r="V7" s="7" t="str">
        <x:v>Цена события, руб./м²</x:v>
      </x:c>
      <x:c r="W7" s="7" t="str">
        <x:v>Цена 6 наблюдений до, руб./м²</x:v>
      </x:c>
      <x:c r="X7" s="7" t="str">
        <x:v>Цена к предыдущей</x:v>
      </x:c>
    </x:row>
    <x:row r="8" ht="65" customHeight="1">
      <x:c r="A8" s="8" t="str">
        <x:v>40156</x:v>
      </x:c>
      <x:c r="B8" s="9" t="str">
        <x:v>Расплетина</x:v>
      </x:c>
      <x:c r="C8" s="9" t="str">
        <x:v>Пакет полностью компенсирован</x:v>
      </x:c>
      <x:c r="D8" s="13" t="n">
        <x:v>44593</x:v>
      </x:c>
      <x:c r="E8" s="8" t="str">
        <x:v>Комфорт</x:v>
      </x:c>
      <x:c r="F8" s="10" t="n">
        <x:v>8959.8</x:v>
      </x:c>
      <x:c r="G8" s="10" t="n">
        <x:v>13037.6</x:v>
      </x:c>
      <x:c r="H8" s="11" t="n">
        <x:f>IF(G8=0,0,F8/G8)</x:f>
        <x:v>0.6872277106215867</x:v>
      </x:c>
      <x:c r="I8" s="12" t="n">
        <x:v>158</x:v>
      </x:c>
      <x:c r="J8" s="12" t="n">
        <x:v>230</x:v>
      </x:c>
      <x:c r="K8" s="11" t="n">
        <x:f>IF(J8=0,0,I8/J8)</x:f>
        <x:v>0.6869565217391305</x:v>
      </x:c>
      <x:c r="L8" s="10" t="n">
        <x:v>8959.8</x:v>
      </x:c>
      <x:c r="M8" s="10" t="n">
        <x:f>F8-L8</x:f>
        <x:v>0</x:v>
      </x:c>
      <x:c r="N8" s="10" t="n">
        <x:v>8959.8</x:v>
      </x:c>
      <x:c r="O8" s="10" t="str">
        <x:v>Нет</x:v>
      </x:c>
      <x:c r="P8" s="13" t="n">
        <x:v>44334</x:v>
      </x:c>
      <x:c r="Q8" s="10" t="n">
        <x:v>0</x:v>
      </x:c>
      <x:c r="R8" s="10" t="n">
        <x:v>0</x:v>
      </x:c>
      <x:c r="S8" s="12" t="n">
        <x:v>62</x:v>
      </x:c>
      <x:c r="T8" s="9" t="str">
        <x:v>В феврале 2022 куплено и расторгнуто по 8959,8 м². Чистый вклад за месяц — 0 м². Покупатель не установлен.</x:v>
      </x:c>
      <x:c r="U8" s="8" t="str">
        <x:v>https://наш.дом.рф/сервисы/каталог-новостроек/объект/40156</x:v>
      </x:c>
      <x:c r="V8" s="14" t="n">
        <x:v>91670.00000000001</x:v>
      </x:c>
      <x:c r="W8" s="14"/>
      <x:c r="X8" s="15" t="str">
        <x:f>IF(OR(V8="",W8=""),"",V8/W8-1)</x:f>
      </x:c>
    </x:row>
    <x:row r="9" ht="65" customHeight="1">
      <x:c r="A9" s="8" t="str">
        <x:v>45973</x:v>
      </x:c>
      <x:c r="B9" s="9" t="str">
        <x:v>Символ</x:v>
      </x:c>
      <x:c r="C9" s="9" t="str">
        <x:v>Покупатель не установлен</x:v>
      </x:c>
      <x:c r="D9" s="13" t="n">
        <x:v>45839</x:v>
      </x:c>
      <x:c r="E9" s="8" t="str">
        <x:v>Бизнес</x:v>
      </x:c>
      <x:c r="F9" s="10" t="n">
        <x:v>40861.5</x:v>
      </x:c>
      <x:c r="G9" s="10" t="n">
        <x:v>65718.8</x:v>
      </x:c>
      <x:c r="H9" s="11" t="n">
        <x:f>IF(G9=0,0,F9/G9)</x:f>
        <x:v>0.6217627223868969</x:v>
      </x:c>
      <x:c r="I9" s="12" t="n">
        <x:v>714</x:v>
      </x:c>
      <x:c r="J9" s="12" t="n">
        <x:v>1105</x:v>
      </x:c>
      <x:c r="K9" s="11" t="n">
        <x:f>IF(J9=0,0,I9/J9)</x:f>
        <x:v>0.6461538461538462</x:v>
      </x:c>
      <x:c r="L9" s="10" t="n">
        <x:v>94.6</x:v>
      </x:c>
      <x:c r="M9" s="10" t="n">
        <x:f>F9-L9</x:f>
        <x:v>40766.9</x:v>
      </x:c>
      <x:c r="N9" s="10" t="n">
        <x:v>261.4</x:v>
      </x:c>
      <x:c r="O9" s="10" t="str">
        <x:v>Нет</x:v>
      </x:c>
      <x:c r="P9" s="13" t="n">
        <x:v>44680</x:v>
      </x:c>
      <x:c r="Q9" s="10" t="n">
        <x:v>24364.2</x:v>
      </x:c>
      <x:c r="R9" s="10" t="n">
        <x:v>205.6</x:v>
      </x:c>
      <x:c r="S9" s="12" t="n">
        <x:v>1098</x:v>
      </x:c>
      <x:c r="T9" s="9" t="str">
        <x:v>Крупный месячный объём; покупатель и связь с реновацией не подтверждены открытыми источниками.</x:v>
      </x:c>
      <x:c r="U9" s="8" t="str">
        <x:v>https://наш.дом.рф/сервисы/каталог-новостроек/объект/45973</x:v>
      </x:c>
      <x:c r="V9" s="14" t="n">
        <x:v>395413.5619103557</x:v>
      </x:c>
      <x:c r="W9" s="14" t="n">
        <x:v>441404.72033073934</x:v>
      </x:c>
      <x:c r="X9" s="15" t="n">
        <x:f>IF(OR(V9="",W9=""),"",V9/W9-1)</x:f>
        <x:v>-0.1041927199734588</x:v>
      </x:c>
    </x:row>
    <x:row r="10" ht="65" customHeight="1">
      <x:c r="A10" s="8" t="str">
        <x:v>58064</x:v>
      </x:c>
      <x:c r="B10" s="9" t="str">
        <x:v>Скандинавия</x:v>
      </x:c>
      <x:c r="C10" s="9" t="str">
        <x:v>Покупатель не установлен</x:v>
      </x:c>
      <x:c r="D10" s="13" t="n">
        <x:v>45717</x:v>
      </x:c>
      <x:c r="E10" s="8" t="str">
        <x:v>Комфорт</x:v>
      </x:c>
      <x:c r="F10" s="10" t="n">
        <x:v>30137.1</x:v>
      </x:c>
      <x:c r="G10" s="10" t="n">
        <x:v>61694</x:v>
      </x:c>
      <x:c r="H10" s="11" t="n">
        <x:f>IF(G10=0,0,F10/G10)</x:f>
        <x:v>0.48849320841572924</x:v>
      </x:c>
      <x:c r="I10" s="12" t="n">
        <x:v>650</x:v>
      </x:c>
      <x:c r="J10" s="12" t="n">
        <x:v>1299</x:v>
      </x:c>
      <x:c r="K10" s="11" t="n">
        <x:f>IF(J10=0,0,I10/J10)</x:f>
        <x:v>0.5003849114703618</x:v>
      </x:c>
      <x:c r="L10" s="10" t="n">
        <x:v>45.4</x:v>
      </x:c>
      <x:c r="M10" s="10" t="n">
        <x:f>F10-L10</x:f>
        <x:v>30091.699999999997</x:v>
      </x:c>
      <x:c r="N10" s="10" t="n">
        <x:v>1206.6</x:v>
      </x:c>
      <x:c r="O10" s="10" t="str">
        <x:v>Нет</x:v>
      </x:c>
      <x:c r="P10" s="13" t="n">
        <x:v>45352</x:v>
      </x:c>
      <x:c r="Q10" s="10" t="n">
        <x:v>14119.9</x:v>
      </x:c>
      <x:c r="R10" s="10" t="n">
        <x:v>1142.5</x:v>
      </x:c>
      <x:c r="S10" s="12" t="n">
        <x:v>1245</x:v>
      </x:c>
      <x:c r="T10" s="9" t="str">
        <x:v>Крупный месячный объём; покупатель и связь с реновацией не подтверждены открытыми источниками.</x:v>
      </x:c>
      <x:c r="U10" s="8" t="str">
        <x:v>https://наш.дом.рф/сервисы/каталог-новостроек/объект/58064</x:v>
      </x:c>
      <x:c r="V10" s="14" t="n">
        <x:v>258040.3302039679</x:v>
      </x:c>
      <x:c r="W10" s="14" t="n">
        <x:v>249417.8016732312</x:v>
      </x:c>
      <x:c r="X10" s="15" t="n">
        <x:f>IF(OR(V10="",W10=""),"",V10/W10-1)</x:f>
        <x:v>0.03457062195597915</x:v>
      </x:c>
    </x:row>
    <x:row r="11" ht="65" customHeight="1">
      <x:c r="A11" s="8" t="str">
        <x:v>61422</x:v>
      </x:c>
      <x:c r="B11" s="9" t="str">
        <x:v>Символ</x:v>
      </x:c>
      <x:c r="C11" s="9" t="str">
        <x:v>Покупатель не установлен</x:v>
      </x:c>
      <x:c r="D11" s="13" t="n">
        <x:v>45901</x:v>
      </x:c>
      <x:c r="E11" s="8" t="str">
        <x:v>Бизнес</x:v>
      </x:c>
      <x:c r="F11" s="10" t="n">
        <x:v>29801.1</x:v>
      </x:c>
      <x:c r="G11" s="10" t="n">
        <x:v>59487.8</x:v>
      </x:c>
      <x:c r="H11" s="11" t="n">
        <x:f>IF(G11=0,0,F11/G11)</x:f>
        <x:v>0.5009615416942633</x:v>
      </x:c>
      <x:c r="I11" s="12" t="n">
        <x:v>497</x:v>
      </x:c>
      <x:c r="J11" s="12" t="n">
        <x:v>985</x:v>
      </x:c>
      <x:c r="K11" s="11" t="n">
        <x:f>IF(J11=0,0,I11/J11)</x:f>
        <x:v>0.5045685279187817</x:v>
      </x:c>
      <x:c r="L11" s="10" t="n">
        <x:v>0</x:v>
      </x:c>
      <x:c r="M11" s="10" t="n">
        <x:f>F11-L11</x:f>
        <x:v>29801.1</x:v>
      </x:c>
      <x:c r="N11" s="10" t="n">
        <x:v>367.5</x:v>
      </x:c>
      <x:c r="O11" s="10" t="str">
        <x:v>Нет</x:v>
      </x:c>
      <x:c r="P11" s="13" t="n">
        <x:v>45516</x:v>
      </x:c>
      <x:c r="Q11" s="10" t="n">
        <x:v>6561.8</x:v>
      </x:c>
      <x:c r="R11" s="10" t="n">
        <x:v>334.31666666666666</x:v>
      </x:c>
      <x:c r="S11" s="12" t="n">
        <x:v>976</x:v>
      </x:c>
      <x:c r="T11" s="9" t="str">
        <x:v>Крупный месячный объём; покупатель и связь с реновацией не подтверждены открытыми источниками.</x:v>
      </x:c>
      <x:c r="U11" s="8" t="str">
        <x:v>https://наш.дом.рф/сервисы/каталог-новостроек/объект/61422</x:v>
      </x:c>
      <x:c r="V11" s="14" t="n">
        <x:v>424567.72226528556</x:v>
      </x:c>
      <x:c r="W11" s="14" t="n">
        <x:v>414000.99506455957</x:v>
      </x:c>
      <x:c r="X11" s="15" t="n">
        <x:f>IF(OR(V11="",W11=""),"",V11/W11-1)</x:f>
        <x:v>0.02552343430739379</x:v>
      </x:c>
    </x:row>
    <x:row r="12" ht="65" customHeight="1">
      <x:c r="A12" s="8" t="str">
        <x:v>43134</x:v>
      </x:c>
      <x:c r="B12" s="9" t="str">
        <x:v>HIGH LIFE</x:v>
      </x:c>
      <x:c r="C12" s="9" t="str">
        <x:v>Покупатель не установлен</x:v>
      </x:c>
      <x:c r="D12" s="13" t="n">
        <x:v>45717</x:v>
      </x:c>
      <x:c r="E12" s="8" t="str">
        <x:v>Элитный</x:v>
      </x:c>
      <x:c r="F12" s="10" t="n">
        <x:v>27180</x:v>
      </x:c>
      <x:c r="G12" s="10" t="n">
        <x:v>57072</x:v>
      </x:c>
      <x:c r="H12" s="11" t="n">
        <x:f>IF(G12=0,0,F12/G12)</x:f>
        <x:v>0.47624053826745166</x:v>
      </x:c>
      <x:c r="I12" s="12" t="n">
        <x:v>324</x:v>
      </x:c>
      <x:c r="J12" s="12" t="n">
        <x:v>629</x:v>
      </x:c>
      <x:c r="K12" s="11" t="n">
        <x:f>IF(J12=0,0,I12/J12)</x:f>
        <x:v>0.5151033386327504</x:v>
      </x:c>
      <x:c r="L12" s="10" t="n">
        <x:v>0</x:v>
      </x:c>
      <x:c r="M12" s="10" t="n">
        <x:f>F12-L12</x:f>
        <x:v>27180</x:v>
      </x:c>
      <x:c r="N12" s="10" t="n">
        <x:v>0</x:v>
      </x:c>
      <x:c r="O12" s="10" t="str">
        <x:v>Нет</x:v>
      </x:c>
      <x:c r="P12" s="13" t="n">
        <x:v>44484</x:v>
      </x:c>
      <x:c r="Q12" s="10" t="n">
        <x:v>17022.1</x:v>
      </x:c>
      <x:c r="R12" s="10" t="n">
        <x:v>872.3166666666666</x:v>
      </x:c>
      <x:c r="S12" s="12" t="n">
        <x:v>517</x:v>
      </x:c>
      <x:c r="T12" s="9" t="str">
        <x:v>Крупный месячный объём; покупатель и связь с реновацией не подтверждены открытыми источниками.</x:v>
      </x:c>
      <x:c r="U12" s="8" t="str">
        <x:v>https://наш.дом.рф/сервисы/каталог-новостроек/объект/43134</x:v>
      </x:c>
      <x:c r="V12" s="14" t="n">
        <x:v>532457.6127774098</x:v>
      </x:c>
      <x:c r="W12" s="14" t="n">
        <x:v>538701.9545405912</x:v>
      </x:c>
      <x:c r="X12" s="15" t="n">
        <x:f>IF(OR(V12="",W12=""),"",V12/W12-1)</x:f>
        <x:v>-0.011591459267131454</x:v>
      </x:c>
    </x:row>
    <x:row r="13" ht="65" customHeight="1">
      <x:c r="A13" s="8" t="str">
        <x:v>30548</x:v>
      </x:c>
      <x:c r="B13" s="9" t="str">
        <x:v>Фестиваль Парк-2</x:v>
      </x:c>
      <x:c r="C13" s="9" t="str">
        <x:v>Покупатель не установлен</x:v>
      </x:c>
      <x:c r="D13" s="13" t="n">
        <x:v>45566</x:v>
      </x:c>
      <x:c r="E13" s="8" t="str">
        <x:v>Бизнес</x:v>
      </x:c>
      <x:c r="F13" s="10" t="n">
        <x:v>13254.6</x:v>
      </x:c>
      <x:c r="G13" s="10" t="n">
        <x:v>21109.2</x:v>
      </x:c>
      <x:c r="H13" s="11" t="n">
        <x:f>IF(G13=0,0,F13/G13)</x:f>
        <x:v>0.6279063157296345</x:v>
      </x:c>
      <x:c r="I13" s="12" t="n">
        <x:v>209</x:v>
      </x:c>
      <x:c r="J13" s="12" t="n">
        <x:v>326</x:v>
      </x:c>
      <x:c r="K13" s="11" t="n">
        <x:f>IF(J13=0,0,I13/J13)</x:f>
        <x:v>0.6411042944785276</x:v>
      </x:c>
      <x:c r="L13" s="10" t="n">
        <x:v>0</x:v>
      </x:c>
      <x:c r="M13" s="10" t="n">
        <x:f>F13-L13</x:f>
        <x:v>13254.6</x:v>
      </x:c>
      <x:c r="N13" s="10" t="n">
        <x:v>0</x:v>
      </x:c>
      <x:c r="O13" s="10" t="str">
        <x:v>Нет</x:v>
      </x:c>
      <x:c r="P13" s="13" t="n">
        <x:v>43616</x:v>
      </x:c>
      <x:c r="Q13" s="10" t="n">
        <x:v>7147.2</x:v>
      </x:c>
      <x:c r="R13" s="10" t="n">
        <x:v>1183.2333333333333</x:v>
      </x:c>
      <x:c r="S13" s="12" t="n">
        <x:v>129</x:v>
      </x:c>
      <x:c r="T13" s="9" t="str">
        <x:v>Крупный месячный объём; покупатель и связь с реновацией не подтверждены открытыми источниками.</x:v>
      </x:c>
      <x:c r="U13" s="8" t="str">
        <x:v>https://наш.дом.рф/сервисы/каталог-новостроек/объект/30548</x:v>
      </x:c>
      <x:c r="V13" s="14" t="n">
        <x:v>346471.73078478413</x:v>
      </x:c>
      <x:c r="W13" s="14" t="n">
        <x:v>371878.3100684564</x:v>
      </x:c>
      <x:c r="X13" s="15" t="n">
        <x:f>IF(OR(V13="",W13=""),"",V13/W13-1)</x:f>
        <x:v>-0.06831960508531776</x:v>
      </x:c>
    </x:row>
    <x:row r="14" ht="65" customHeight="1">
      <x:c r="A14" s="8" t="str">
        <x:v>38951</x:v>
      </x:c>
      <x:c r="B14" s="9" t="str">
        <x:v>L38 Ленинский</x:v>
      </x:c>
      <x:c r="C14" s="9" t="str">
        <x:v>Покупатель не установлен</x:v>
      </x:c>
      <x:c r="D14" s="13" t="n">
        <x:v>45170</x:v>
      </x:c>
      <x:c r="E14" s="8" t="str">
        <x:v>Элитный</x:v>
      </x:c>
      <x:c r="F14" s="10" t="n">
        <x:v>10275.43</x:v>
      </x:c>
      <x:c r="G14" s="10" t="n">
        <x:v>22329.8</x:v>
      </x:c>
      <x:c r="H14" s="11" t="n">
        <x:f>IF(G14=0,0,F14/G14)</x:f>
        <x:v>0.460166683087175</x:v>
      </x:c>
      <x:c r="I14" s="12" t="n">
        <x:v>166</x:v>
      </x:c>
      <x:c r="J14" s="12" t="n">
        <x:v>325</x:v>
      </x:c>
      <x:c r="K14" s="11" t="n">
        <x:f>IF(J14=0,0,I14/J14)</x:f>
        <x:v>0.5107692307692308</x:v>
      </x:c>
      <x:c r="L14" s="10" t="n">
        <x:v>0</x:v>
      </x:c>
      <x:c r="M14" s="10" t="n">
        <x:f>F14-L14</x:f>
        <x:v>10275.43</x:v>
      </x:c>
      <x:c r="N14" s="10" t="n">
        <x:v>0</x:v>
      </x:c>
      <x:c r="O14" s="10" t="str">
        <x:v>Нет</x:v>
      </x:c>
      <x:c r="P14" s="13" t="n">
        <x:v>44256</x:v>
      </x:c>
      <x:c r="Q14" s="10" t="n">
        <x:v>0</x:v>
      </x:c>
      <x:c r="R14" s="10" t="n">
        <x:v>0</x:v>
      </x:c>
      <x:c r="S14" s="12" t="n">
        <x:v>205</x:v>
      </x:c>
      <x:c r="T14" s="9" t="str">
        <x:v>Крупный месячный объём; покупатель и связь с реновацией не подтверждены открытыми источниками. До события в истории нет положительных продаж: проверить накопленный объём.</x:v>
      </x:c>
      <x:c r="U14" s="8" t="str">
        <x:v>https://наш.дом.рф/сервисы/каталог-новостроек/объект/38951</x:v>
      </x:c>
      <x:c r="V14" s="14" t="n">
        <x:v>506727.2262863939</x:v>
      </x:c>
      <x:c r="W14" s="14"/>
      <x:c r="X14" s="15" t="str">
        <x:f>IF(OR(V14="",W14=""),"",V14/W14-1)</x:f>
      </x:c>
    </x:row>
    <x:row r="15" ht="65" customHeight="1">
      <x:c r="A15" s="8" t="str">
        <x:v>46278</x:v>
      </x:c>
      <x:c r="B15" s="9" t="str">
        <x:v>СберСити</x:v>
      </x:c>
      <x:c r="C15" s="9" t="str">
        <x:v>Покупатель не установлен</x:v>
      </x:c>
      <x:c r="D15" s="13" t="n">
        <x:v>45839</x:v>
      </x:c>
      <x:c r="E15" s="8" t="str">
        <x:v>Бизнес</x:v>
      </x:c>
      <x:c r="F15" s="10" t="n">
        <x:v>6935.6</x:v>
      </x:c>
      <x:c r="G15" s="10" t="n">
        <x:v>9318.35</x:v>
      </x:c>
      <x:c r="H15" s="11" t="n">
        <x:f>IF(G15=0,0,F15/G15)</x:f>
        <x:v>0.7442948590683973</x:v>
      </x:c>
      <x:c r="I15" s="12" t="n">
        <x:v>100</x:v>
      </x:c>
      <x:c r="J15" s="12" t="n">
        <x:v>136</x:v>
      </x:c>
      <x:c r="K15" s="11" t="n">
        <x:f>IF(J15=0,0,I15/J15)</x:f>
        <x:v>0.7352941176470589</x:v>
      </x:c>
      <x:c r="L15" s="10" t="n">
        <x:v>0</x:v>
      </x:c>
      <x:c r="M15" s="10" t="n">
        <x:f>F15-L15</x:f>
        <x:v>6935.6</x:v>
      </x:c>
      <x:c r="N15" s="10" t="n">
        <x:v>0</x:v>
      </x:c>
      <x:c r="O15" s="10" t="str">
        <x:v>Нет</x:v>
      </x:c>
      <x:c r="P15" s="13" t="n">
        <x:v>44706</x:v>
      </x:c>
      <x:c r="Q15" s="10" t="n">
        <x:v>2431.31</x:v>
      </x:c>
      <x:c r="R15" s="10" t="n">
        <x:v>0</x:v>
      </x:c>
      <x:c r="S15" s="12" t="n">
        <x:v>136</x:v>
      </x:c>
      <x:c r="T15" s="9" t="str">
        <x:v>Крупный месячный объём; покупатель и связь с реновацией не подтверждены открытыми источниками. Последние 6 наблюдений до скачка имеют нулевые продажи: проверить пропуски обновлений.</x:v>
      </x:c>
      <x:c r="U15" s="8" t="str">
        <x:v>https://наш.дом.рф/сервисы/каталог-новостроек/объект/46278</x:v>
      </x:c>
      <x:c r="V15" s="14" t="n">
        <x:v>323585.3099948094</x:v>
      </x:c>
      <x:c r="W15" s="14"/>
      <x:c r="X15" s="15" t="str">
        <x:f>IF(OR(V15="",W15=""),"",V15/W15-1)</x:f>
      </x:c>
    </x:row>
    <x:row r="16" ht="65" customHeight="1">
      <x:c r="A16" s="8" t="str">
        <x:v>3373</x:v>
      </x:c>
      <x:c r="B16" s="9" t="str">
        <x:v>Время</x:v>
      </x:c>
      <x:c r="C16" s="9" t="str">
        <x:v>Покупатель не установлен</x:v>
      </x:c>
      <x:c r="D16" s="13" t="n">
        <x:v>44621</x:v>
      </x:c>
      <x:c r="E16" s="8" t="str">
        <x:v>Бизнес</x:v>
      </x:c>
      <x:c r="F16" s="10" t="n">
        <x:v>2873.44</x:v>
      </x:c>
      <x:c r="G16" s="10" t="n">
        <x:v>16731</x:v>
      </x:c>
      <x:c r="H16" s="11" t="n">
        <x:f>IF(G16=0,0,F16/G16)</x:f>
        <x:v>0.17174347020500866</x:v>
      </x:c>
      <x:c r="I16" s="12" t="n">
        <x:v>160</x:v>
      </x:c>
      <x:c r="J16" s="12" t="n">
        <x:v>273</x:v>
      </x:c>
      <x:c r="K16" s="11" t="n">
        <x:f>IF(J16=0,0,I16/J16)</x:f>
        <x:v>0.5860805860805861</x:v>
      </x:c>
      <x:c r="L16" s="10" t="n">
        <x:v>0</x:v>
      </x:c>
      <x:c r="M16" s="10" t="n">
        <x:f>F16-L16</x:f>
        <x:v>2873.44</x:v>
      </x:c>
      <x:c r="N16" s="10" t="n">
        <x:v>0</x:v>
      </x:c>
      <x:c r="O16" s="10" t="str">
        <x:v>Нет</x:v>
      </x:c>
      <x:c r="P16" s="13" t="n">
        <x:v>43616</x:v>
      </x:c>
      <x:c r="Q16" s="10" t="n">
        <x:v>2340.92</x:v>
      </x:c>
      <x:c r="R16" s="10" t="n">
        <x:v>378.81</x:v>
      </x:c>
      <x:c r="S16" s="12" t="n">
        <x:v>114</x:v>
      </x:c>
      <x:c r="T16" s="9" t="str">
        <x:v>Крупный месячный объём; покупатель и связь с реновацией не подтверждены открытыми источниками.</x:v>
      </x:c>
      <x:c r="U16" s="8" t="str">
        <x:v>https://наш.дом.рф/сервисы/каталог-новостроек/объект/3373</x:v>
      </x:c>
      <x:c r="V16" s="14" t="n">
        <x:v>364937.5624512779</x:v>
      </x:c>
      <x:c r="W16" s="14" t="n">
        <x:v>279112.8676293305</x:v>
      </x:c>
      <x:c r="X16" s="15" t="n">
        <x:f>IF(OR(V16="",W16=""),"",V16/W16-1)</x:f>
        <x:v>0.30749100014953434</x:v>
      </x:c>
    </x:row>
    <x:row r="17" ht="65" customHeight="1">
      <x:c r="A17" s="8" t="str">
        <x:v>63448</x:v>
      </x:c>
      <x:c r="B17" s="9" t="str">
        <x:v>Саларьево Парк</x:v>
      </x:c>
      <x:c r="C17" s="9" t="str">
        <x:v>Проверить накопленный объём</x:v>
      </x:c>
      <x:c r="D17" s="13" t="n">
        <x:v>45627</x:v>
      </x:c>
      <x:c r="E17" s="8" t="str">
        <x:v>Типовой</x:v>
      </x:c>
      <x:c r="F17" s="10" t="n">
        <x:v>23067.3</x:v>
      </x:c>
      <x:c r="G17" s="10" t="n">
        <x:v>39201.3</x:v>
      </x:c>
      <x:c r="H17" s="11" t="n">
        <x:f>IF(G17=0,0,F17/G17)</x:f>
        <x:v>0.5884320162851742</x:v>
      </x:c>
      <x:c r="I17" s="12" t="n">
        <x:v>646</x:v>
      </x:c>
      <x:c r="J17" s="12" t="n">
        <x:v>1056</x:v>
      </x:c>
      <x:c r="K17" s="11" t="n">
        <x:f>IF(J17=0,0,I17/J17)</x:f>
        <x:v>0.6117424242424242</x:v>
      </x:c>
      <x:c r="L17" s="10" t="n">
        <x:v>0</x:v>
      </x:c>
      <x:c r="M17" s="10" t="n">
        <x:f>F17-L17</x:f>
        <x:v>23067.3</x:v>
      </x:c>
      <x:c r="N17" s="10" t="n">
        <x:v>54.900000000000006</x:v>
      </x:c>
      <x:c r="O17" s="10" t="str">
        <x:v>Да</x:v>
      </x:c>
      <x:c r="P17" s="13" t="n">
        <x:v>45621</x:v>
      </x:c>
      <x:c r="Q17" s="10" t="n">
        <x:v>0</x:v>
      </x:c>
      <x:c r="R17" s="10"/>
      <x:c r="S17" s="12" t="n">
        <x:v>1046</x:v>
      </x:c>
      <x:c r="T17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17" s="8" t="str">
        <x:v>https://наш.дом.рф/сервисы/каталог-новостроек/объект/63448</x:v>
      </x:c>
      <x:c r="V17" s="14" t="n">
        <x:v>253104.450022326</x:v>
      </x:c>
      <x:c r="W17" s="14"/>
      <x:c r="X17" s="15" t="str">
        <x:f>IF(OR(V17="",W17=""),"",V17/W17-1)</x:f>
      </x:c>
    </x:row>
    <x:row r="18" ht="65" customHeight="1">
      <x:c r="A18" s="8" t="str">
        <x:v>51191</x:v>
      </x:c>
      <x:c r="B18" s="9" t="str">
        <x:v>Сидней Сити (Sydney City)</x:v>
      </x:c>
      <x:c r="C18" s="9" t="str">
        <x:v>Проверить накопленный объём</x:v>
      </x:c>
      <x:c r="D18" s="13" t="n">
        <x:v>44986</x:v>
      </x:c>
      <x:c r="E18" s="8" t="str">
        <x:v>Элитный</x:v>
      </x:c>
      <x:c r="F18" s="10" t="n">
        <x:v>16702.4</x:v>
      </x:c>
      <x:c r="G18" s="10" t="n">
        <x:v>29533.8</x:v>
      </x:c>
      <x:c r="H18" s="11" t="n">
        <x:f>IF(G18=0,0,F18/G18)</x:f>
        <x:v>0.565535081838436</x:v>
      </x:c>
      <x:c r="I18" s="12" t="n">
        <x:v>278</x:v>
      </x:c>
      <x:c r="J18" s="12" t="n">
        <x:v>496</x:v>
      </x:c>
      <x:c r="K18" s="11" t="n">
        <x:f>IF(J18=0,0,I18/J18)</x:f>
        <x:v>0.5604838709677419</x:v>
      </x:c>
      <x:c r="L18" s="10" t="n">
        <x:v>0</x:v>
      </x:c>
      <x:c r="M18" s="10" t="n">
        <x:f>F18-L18</x:f>
        <x:v>16702.4</x:v>
      </x:c>
      <x:c r="N18" s="10" t="n">
        <x:v>128.6</x:v>
      </x:c>
      <x:c r="O18" s="10" t="str">
        <x:v>Нет</x:v>
      </x:c>
      <x:c r="P18" s="13" t="n">
        <x:v>45016</x:v>
      </x:c>
      <x:c r="Q18" s="10" t="n">
        <x:v>0</x:v>
      </x:c>
      <x:c r="R18" s="10" t="n">
        <x:v>0</x:v>
      </x:c>
      <x:c r="S18" s="12" t="n">
        <x:v>306</x:v>
      </x:c>
      <x:c r="T18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18" s="8" t="str">
        <x:v>https://наш.дом.рф/сервисы/каталог-новостроек/объект/51191</x:v>
      </x:c>
      <x:c r="V18" s="14" t="n">
        <x:v>469819.52828635403</x:v>
      </x:c>
      <x:c r="W18" s="14"/>
      <x:c r="X18" s="15" t="str">
        <x:f>IF(OR(V18="",W18=""),"",V18/W18-1)</x:f>
      </x:c>
    </x:row>
    <x:row r="19" ht="65" customHeight="1">
      <x:c r="A19" s="8" t="str">
        <x:v>51189</x:v>
      </x:c>
      <x:c r="B19" s="9" t="str">
        <x:v>Сидней Сити (Sydney City)</x:v>
      </x:c>
      <x:c r="C19" s="9" t="str">
        <x:v>Проверить накопленный объём</x:v>
      </x:c>
      <x:c r="D19" s="13" t="n">
        <x:v>44986</x:v>
      </x:c>
      <x:c r="E19" s="8" t="str">
        <x:v>Бизнес</x:v>
      </x:c>
      <x:c r="F19" s="10" t="n">
        <x:v>12243.4</x:v>
      </x:c>
      <x:c r="G19" s="10" t="n">
        <x:v>17229.6</x:v>
      </x:c>
      <x:c r="H19" s="11" t="n">
        <x:f>IF(G19=0,0,F19/G19)</x:f>
        <x:v>0.7106026837535404</x:v>
      </x:c>
      <x:c r="I19" s="12" t="n">
        <x:v>217</x:v>
      </x:c>
      <x:c r="J19" s="12" t="n">
        <x:v>306</x:v>
      </x:c>
      <x:c r="K19" s="11" t="n">
        <x:f>IF(J19=0,0,I19/J19)</x:f>
        <x:v>0.7091503267973857</x:v>
      </x:c>
      <x:c r="L19" s="10" t="n">
        <x:v>0</x:v>
      </x:c>
      <x:c r="M19" s="10" t="n">
        <x:f>F19-L19</x:f>
        <x:v>12243.4</x:v>
      </x:c>
      <x:c r="N19" s="10" t="n">
        <x:v>0</x:v>
      </x:c>
      <x:c r="O19" s="10" t="str">
        <x:v>Нет</x:v>
      </x:c>
      <x:c r="P19" s="13" t="n">
        <x:v>45016</x:v>
      </x:c>
      <x:c r="Q19" s="10" t="n">
        <x:v>159.3</x:v>
      </x:c>
      <x:c r="R19" s="10" t="n">
        <x:v>0</x:v>
      </x:c>
      <x:c r="S19" s="12" t="n">
        <x:v>219</x:v>
      </x:c>
      <x:c r="T19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19" s="8" t="str">
        <x:v>https://наш.дом.рф/сервисы/каталог-новостроек/объект/51189</x:v>
      </x:c>
      <x:c r="V19" s="14" t="n">
        <x:v>443413.9417972132</x:v>
      </x:c>
      <x:c r="W19" s="14"/>
      <x:c r="X19" s="15" t="str">
        <x:f>IF(OR(V19="",W19=""),"",V19/W19-1)</x:f>
      </x:c>
    </x:row>
    <x:row r="20" ht="65" customHeight="1">
      <x:c r="A20" s="8" t="str">
        <x:v>51190</x:v>
      </x:c>
      <x:c r="B20" s="9" t="str">
        <x:v>Сидней Сити (Sydney City)</x:v>
      </x:c>
      <x:c r="C20" s="9" t="str">
        <x:v>Проверить накопленный объём</x:v>
      </x:c>
      <x:c r="D20" s="13" t="n">
        <x:v>44986</x:v>
      </x:c>
      <x:c r="E20" s="8" t="str">
        <x:v>Элитный</x:v>
      </x:c>
      <x:c r="F20" s="10" t="n">
        <x:v>11987.9</x:v>
      </x:c>
      <x:c r="G20" s="10" t="n">
        <x:v>18173.9</x:v>
      </x:c>
      <x:c r="H20" s="11" t="n">
        <x:f>IF(G20=0,0,F20/G20)</x:f>
        <x:v>0.6596217652787788</x:v>
      </x:c>
      <x:c r="I20" s="12" t="n">
        <x:v>203</x:v>
      </x:c>
      <x:c r="J20" s="12" t="n">
        <x:v>308</x:v>
      </x:c>
      <x:c r="K20" s="11" t="n">
        <x:f>IF(J20=0,0,I20/J20)</x:f>
        <x:v>0.6590909090909091</x:v>
      </x:c>
      <x:c r="L20" s="10" t="n">
        <x:v>0</x:v>
      </x:c>
      <x:c r="M20" s="10" t="n">
        <x:f>F20-L20</x:f>
        <x:v>11987.9</x:v>
      </x:c>
      <x:c r="N20" s="10" t="n">
        <x:v>149.4</x:v>
      </x:c>
      <x:c r="O20" s="10" t="str">
        <x:v>Нет</x:v>
      </x:c>
      <x:c r="P20" s="13" t="n">
        <x:v>45016</x:v>
      </x:c>
      <x:c r="Q20" s="10" t="n">
        <x:v>1124.7</x:v>
      </x:c>
      <x:c r="R20" s="10" t="n">
        <x:v>0</x:v>
      </x:c>
      <x:c r="S20" s="12" t="n">
        <x:v>227</x:v>
      </x:c>
      <x:c r="T20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20" s="8" t="str">
        <x:v>https://наш.дом.рф/сервисы/каталог-новостроек/объект/51190</x:v>
      </x:c>
      <x:c r="V20" s="14" t="n">
        <x:v>404975.293812928</x:v>
      </x:c>
      <x:c r="W20" s="14"/>
      <x:c r="X20" s="15" t="str">
        <x:f>IF(OR(V20="",W20=""),"",V20/W20-1)</x:f>
      </x:c>
    </x:row>
    <x:row r="21" ht="65" customHeight="1">
      <x:c r="A21" s="8" t="str">
        <x:v>64340</x:v>
      </x:c>
      <x:c r="B21" s="9" t="str">
        <x:v>Сигнальный 16</x:v>
      </x:c>
      <x:c r="C21" s="9" t="str">
        <x:v>Проверить накопленный объём</x:v>
      </x:c>
      <x:c r="D21" s="13" t="n">
        <x:v>45627</x:v>
      </x:c>
      <x:c r="E21" s="8" t="str">
        <x:v>Типовой</x:v>
      </x:c>
      <x:c r="F21" s="10" t="n">
        <x:v>10998.8</x:v>
      </x:c>
      <x:c r="G21" s="10" t="n">
        <x:v>19989.31</x:v>
      </x:c>
      <x:c r="H21" s="11" t="n">
        <x:f>IF(G21=0,0,F21/G21)</x:f>
        <x:v>0.5502341001265175</x:v>
      </x:c>
      <x:c r="I21" s="12" t="n">
        <x:v>274</x:v>
      </x:c>
      <x:c r="J21" s="12" t="n">
        <x:v>496</x:v>
      </x:c>
      <x:c r="K21" s="11" t="n">
        <x:f>IF(J21=0,0,I21/J21)</x:f>
        <x:v>0.5524193548387096</x:v>
      </x:c>
      <x:c r="L21" s="10" t="n">
        <x:v>32.2</x:v>
      </x:c>
      <x:c r="M21" s="10" t="n">
        <x:f>F21-L21</x:f>
        <x:v>10966.599999999999</x:v>
      </x:c>
      <x:c r="N21" s="10" t="n">
        <x:v>94.80000000000001</x:v>
      </x:c>
      <x:c r="O21" s="10" t="str">
        <x:v>Да</x:v>
      </x:c>
      <x:c r="P21" s="13" t="n">
        <x:v>45686</x:v>
      </x:c>
      <x:c r="Q21" s="10" t="n">
        <x:v>0</x:v>
      </x:c>
      <x:c r="R21" s="10"/>
      <x:c r="S21" s="12" t="n">
        <x:v>486</x:v>
      </x:c>
      <x:c r="T21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21" s="8" t="str">
        <x:v>https://наш.дом.рф/сервисы/каталог-новостроек/объект/64340</x:v>
      </x:c>
      <x:c r="V21" s="14" t="n">
        <x:v>264756.1562170419</x:v>
      </x:c>
      <x:c r="W21" s="14"/>
      <x:c r="X21" s="15" t="str">
        <x:f>IF(OR(V21="",W21=""),"",V21/W21-1)</x:f>
      </x:c>
    </x:row>
    <x:row r="22" ht="65" customHeight="1">
      <x:c r="A22" s="8" t="str">
        <x:v>54981</x:v>
      </x:c>
      <x:c r="B22" s="9" t="str">
        <x:v>Огни</x:v>
      </x:c>
      <x:c r="C22" s="9" t="str">
        <x:v>Проверить накопленный объём</x:v>
      </x:c>
      <x:c r="D22" s="13" t="n">
        <x:v>45200</x:v>
      </x:c>
      <x:c r="E22" s="8" t="str">
        <x:v>Комфорт</x:v>
      </x:c>
      <x:c r="F22" s="10" t="n">
        <x:v>8495</x:v>
      </x:c>
      <x:c r="G22" s="10" t="n">
        <x:v>13732.7</x:v>
      </x:c>
      <x:c r="H22" s="11" t="n">
        <x:f>IF(G22=0,0,F22/G22)</x:f>
        <x:v>0.6185964886730213</x:v>
      </x:c>
      <x:c r="I22" s="12" t="n">
        <x:v>189</x:v>
      </x:c>
      <x:c r="J22" s="12" t="n">
        <x:v>287</x:v>
      </x:c>
      <x:c r="K22" s="11" t="n">
        <x:f>IF(J22=0,0,I22/J22)</x:f>
        <x:v>0.6585365853658537</x:v>
      </x:c>
      <x:c r="L22" s="10" t="n">
        <x:v>0</x:v>
      </x:c>
      <x:c r="M22" s="10" t="n">
        <x:f>F22-L22</x:f>
        <x:v>8495</x:v>
      </x:c>
      <x:c r="N22" s="10" t="n">
        <x:v>66</x:v>
      </x:c>
      <x:c r="O22" s="10" t="str">
        <x:v>Да</x:v>
      </x:c>
      <x:c r="P22" s="13" t="n">
        <x:v>45216</x:v>
      </x:c>
      <x:c r="Q22" s="10" t="n">
        <x:v>0</x:v>
      </x:c>
      <x:c r="R22" s="10"/>
      <x:c r="S22" s="12" t="n">
        <x:v>287</x:v>
      </x:c>
      <x:c r="T22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22" s="8" t="str">
        <x:v>https://наш.дом.рф/сервисы/каталог-новостроек/объект/54981</x:v>
      </x:c>
      <x:c r="V22" s="14" t="n">
        <x:v>343149.6609770453</x:v>
      </x:c>
      <x:c r="W22" s="14"/>
      <x:c r="X22" s="15" t="str">
        <x:f>IF(OR(V22="",W22=""),"",V22/W22-1)</x:f>
      </x:c>
    </x:row>
    <x:row r="23" ht="65" customHeight="1">
      <x:c r="A23" s="8" t="str">
        <x:v>43185</x:v>
      </x:c>
      <x:c r="B23" s="9" t="str">
        <x:v>Зеленая Вертикаль</x:v>
      </x:c>
      <x:c r="C23" s="9" t="str">
        <x:v>Проверить накопленный объём</x:v>
      </x:c>
      <x:c r="D23" s="13" t="n">
        <x:v>44440</x:v>
      </x:c>
      <x:c r="E23" s="8" t="str">
        <x:v>Типовой</x:v>
      </x:c>
      <x:c r="F23" s="10" t="n">
        <x:v>7121.7</x:v>
      </x:c>
      <x:c r="G23" s="10" t="n">
        <x:v>9225.3</x:v>
      </x:c>
      <x:c r="H23" s="11" t="n">
        <x:f>IF(G23=0,0,F23/G23)</x:f>
        <x:v>0.7719748951253618</x:v>
      </x:c>
      <x:c r="I23" s="12" t="n">
        <x:v>134</x:v>
      </x:c>
      <x:c r="J23" s="12" t="n">
        <x:v>162</x:v>
      </x:c>
      <x:c r="K23" s="11" t="n">
        <x:f>IF(J23=0,0,I23/J23)</x:f>
        <x:v>0.8271604938271605</x:v>
      </x:c>
      <x:c r="L23" s="10" t="n">
        <x:v>0</x:v>
      </x:c>
      <x:c r="M23" s="10" t="n">
        <x:f>F23-L23</x:f>
        <x:v>7121.7</x:v>
      </x:c>
      <x:c r="N23" s="10" t="n">
        <x:v>35</x:v>
      </x:c>
      <x:c r="O23" s="10" t="str">
        <x:v>Да</x:v>
      </x:c>
      <x:c r="P23" s="13" t="n">
        <x:v>44488</x:v>
      </x:c>
      <x:c r="Q23" s="10" t="n">
        <x:v>0</x:v>
      </x:c>
      <x:c r="R23" s="10"/>
      <x:c r="S23" s="12" t="n">
        <x:v>158</x:v>
      </x:c>
      <x:c r="T23" s="9" t="str">
        <x:v>Первое наблюдение / первая крупная положительная запись. Возможен накопленный объём. Сверить предыдущие ПД и даты публикации.</x:v>
      </x:c>
      <x:c r="U23" s="8" t="str">
        <x:v>https://наш.дом.рф/сервисы/каталог-новостроек/объект/43185</x:v>
      </x:c>
      <x:c r="V23" s="14" t="n">
        <x:v>193445.5396885575</x:v>
      </x:c>
      <x:c r="W23" s="14"/>
      <x:c r="X23" s="15" t="str">
        <x:f>IF(OR(V23="",W23=""),"",V23/W23-1)</x:f>
      </x:c>
    </x:row>
    <x:row r="24" ht="65" customHeight="1">
      <x:c r="A24" s="8" t="str">
        <x:v>45258</x:v>
      </x:c>
      <x:c r="B24" s="9" t="str">
        <x:v>СберСити</x:v>
      </x:c>
      <x:c r="C24" s="9" t="str">
        <x:v>Сверить исходные данные</x:v>
      </x:c>
      <x:c r="D24" s="13" t="n">
        <x:v>44743</x:v>
      </x:c>
      <x:c r="E24" s="8" t="str">
        <x:v>Комфорт</x:v>
      </x:c>
      <x:c r="F24" s="10" t="n">
        <x:v>5473.35</x:v>
      </x:c>
      <x:c r="G24" s="10" t="n">
        <x:v>8346.32</x:v>
      </x:c>
      <x:c r="H24" s="11" t="n">
        <x:f>IF(G24=0,0,F24/G24)</x:f>
        <x:v>0.6557800323975118</x:v>
      </x:c>
      <x:c r="I24" s="12" t="n">
        <x:v>91</x:v>
      </x:c>
      <x:c r="J24" s="12" t="n">
        <x:v>132</x:v>
      </x:c>
      <x:c r="K24" s="11" t="n">
        <x:f>IF(J24=0,0,I24/J24)</x:f>
        <x:v>0.6893939393939394</x:v>
      </x:c>
      <x:c r="L24" s="10" t="n">
        <x:v>0</x:v>
      </x:c>
      <x:c r="M24" s="10" t="n">
        <x:f>F24-L24</x:f>
        <x:v>5473.35</x:v>
      </x:c>
      <x:c r="N24" s="10" t="n">
        <x:v>0</x:v>
      </x:c>
      <x:c r="O24" s="10" t="str">
        <x:v>Нет</x:v>
      </x:c>
      <x:c r="P24" s="13" t="n">
        <x:v>44617</x:v>
      </x:c>
      <x:c r="Q24" s="10" t="n">
        <x:v>5357.98</x:v>
      </x:c>
      <x:c r="R24" s="10" t="n">
        <x:v>5357.98</x:v>
      </x:c>
      <x:c r="S24" s="12" t="n">
        <x:v>132</x:v>
      </x:c>
      <x:c r="T24" s="9" t="str">
        <x:v>Два кандидата: июнь 2022 — 5357,98 м² и июль — 5473,35 м². За историю продано 13807,43 м² при текущей площади 8346,32 м². Сверить площадь, изменения проекта и учёт.</x:v>
      </x:c>
      <x:c r="U24" s="8" t="str">
        <x:v>https://наш.дом.рф/сервисы/каталог-новостроек/объект/45258</x:v>
      </x:c>
      <x:c r="V24" s="14" t="n">
        <x:v>234589.79674239724</x:v>
      </x:c>
      <x:c r="W24" s="14" t="n">
        <x:v>228714.9037062475</x:v>
      </x:c>
      <x:c r="X24" s="15" t="n">
        <x:f>IF(OR(V24="",W24=""),"",V24/W24-1)</x:f>
        <x:v>0.02568653350065553</x:v>
      </x:c>
    </x:row>
    <x:row r="25" ht="65" customHeight="1">
      <x:c r="A25" s="8" t="str">
        <x:v>49761</x:v>
      </x:c>
      <x:c r="B25" s="9" t="str">
        <x:v>Город на реке Тушино-2018 (реновация)</x:v>
      </x:c>
      <x:c r="C25" s="9" t="str">
        <x:v>Передача фонду подтверждена</x:v>
      </x:c>
      <x:c r="D25" s="13" t="n">
        <x:v>44986</x:v>
      </x:c>
      <x:c r="E25" s="8" t="str">
        <x:v>Комфорт</x:v>
      </x:c>
      <x:c r="F25" s="10" t="n">
        <x:v>56166.9</x:v>
      </x:c>
      <x:c r="G25" s="10" t="n">
        <x:v>56275.8</x:v>
      </x:c>
      <x:c r="H25" s="11" t="n">
        <x:f>IF(G25=0,0,F25/G25)</x:f>
        <x:v>0.9980648875715672</x:v>
      </x:c>
      <x:c r="I25" s="12" t="n">
        <x:v>962</x:v>
      </x:c>
      <x:c r="J25" s="12" t="n">
        <x:v>962</x:v>
      </x:c>
      <x:c r="K25" s="11" t="n">
        <x:f>IF(J25=0,0,I25/J25)</x:f>
        <x:v>1</x:v>
      </x:c>
      <x:c r="L25" s="10" t="n">
        <x:v>0</x:v>
      </x:c>
      <x:c r="M25" s="10" t="n">
        <x:f>F25-L25</x:f>
        <x:v>56166.9</x:v>
      </x:c>
      <x:c r="N25" s="10" t="n">
        <x:v>0</x:v>
      </x:c>
      <x:c r="O25" s="10" t="str">
        <x:v>Да</x:v>
      </x:c>
      <x:c r="P25" s="13" t="n">
        <x:v>44921</x:v>
      </x:c>
      <x:c r="Q25" s="10" t="n">
        <x:v>0</x:v>
      </x:c>
      <x:c r="R25" s="10"/>
      <x:c r="S25" s="12" t="n">
        <x:v>1</x:v>
      </x:c>
      <x:c r="T25" s="9" t="str">
        <x:v>Застройщик подтвердил передачу дома фонду; количество квартир совпадает. Месяц — отражение в базе, не дата договора.</x:v>
      </x:c>
      <x:c r="U25" s="8" t="str">
        <x:v>https://companies.rbc.ru/news/y3wlmm2DUm/stadion-spartak-pervyim-postroil-i-peredal-doma-po-programme-renovatsii/</x:v>
      </x:c>
      <x:c r="V25" s="14" t="n">
        <x:v>128645</x:v>
      </x:c>
      <x:c r="W25" s="14"/>
      <x:c r="X25" s="15" t="str">
        <x:f>IF(OR(V25="",W25=""),"",V25/W25-1)</x:f>
      </x:c>
    </x:row>
    <x:row r="26" ht="65" customHeight="1">
      <x:c r="A26" s="8" t="str">
        <x:v>39273</x:v>
      </x:c>
      <x:c r="B26" s="9" t="str">
        <x:v>Город На Реке Тушино-2018</x:v>
      </x:c>
      <x:c r="C26" s="9" t="str">
        <x:v>Передача фонду подтверждена</x:v>
      </x:c>
      <x:c r="D26" s="13" t="n">
        <x:v>44348</x:v>
      </x:c>
      <x:c r="E26" s="8" t="str">
        <x:v>Типовой</x:v>
      </x:c>
      <x:c r="F26" s="10" t="n">
        <x:v>13553.17</x:v>
      </x:c>
      <x:c r="G26" s="10" t="n">
        <x:v>13540.2</x:v>
      </x:c>
      <x:c r="H26" s="11" t="n">
        <x:f>IF(G26=0,0,F26/G26)</x:f>
        <x:v>1.0009578883620625</x:v>
      </x:c>
      <x:c r="I26" s="12" t="n">
        <x:v>220</x:v>
      </x:c>
      <x:c r="J26" s="12" t="n">
        <x:v>220</x:v>
      </x:c>
      <x:c r="K26" s="11" t="n">
        <x:f>IF(J26=0,0,I26/J26)</x:f>
        <x:v>1</x:v>
      </x:c>
      <x:c r="L26" s="10" t="n">
        <x:v>0</x:v>
      </x:c>
      <x:c r="M26" s="10" t="n">
        <x:f>F26-L26</x:f>
        <x:v>13553.17</x:v>
      </x:c>
      <x:c r="N26" s="10" t="n">
        <x:v>0</x:v>
      </x:c>
      <x:c r="O26" s="10" t="str">
        <x:v>Нет</x:v>
      </x:c>
      <x:c r="P26" s="13" t="n">
        <x:v>44285</x:v>
      </x:c>
      <x:c r="Q26" s="10" t="n">
        <x:v>0</x:v>
      </x:c>
      <x:c r="R26" s="10" t="n">
        <x:v>0</x:v>
      </x:c>
      <x:c r="S26" s="12" t="n">
        <x:v>1</x:v>
      </x:c>
      <x:c r="T26" s="9" t="str">
        <x:v>Застройщик подтвердил передачу дома фонду; количество квартир совпадает. Месяц — отражение в базе, не дата договора.</x:v>
      </x:c>
      <x:c r="U26" s="8" t="str">
        <x:v>https://companies.rbc.ru/news/y3wlmm2DUm/stadion-spartak-pervyim-postroil-i-peredal-doma-po-programme-renovatsii/</x:v>
      </x:c>
      <x:c r="V26" s="14" t="n">
        <x:v>91670</x:v>
      </x:c>
      <x:c r="W26" s="14"/>
      <x:c r="X26" s="15" t="str">
        <x:f>IF(OR(V26="",W26=""),"",V26/W26-1)</x:f>
      </x:c>
    </x:row>
    <x:row r="27" ht="65" customHeight="1">
      <x:c r="A27" s="8" t="str">
        <x:v>58054</x:v>
      </x:c>
      <x:c r="B27" s="9" t="str">
        <x:v>Строительный проезд 9</x:v>
      </x:c>
      <x:c r="C27" s="9" t="str">
        <x:v>Реновация: покупатель косвенно</x:v>
      </x:c>
      <x:c r="D27" s="13" t="n">
        <x:v>45444</x:v>
      </x:c>
      <x:c r="E27" s="8" t="str">
        <x:v>Типовой</x:v>
      </x:c>
      <x:c r="F27" s="10" t="n">
        <x:v>54276.3</x:v>
      </x:c>
      <x:c r="G27" s="10" t="n">
        <x:v>54448.8</x:v>
      </x:c>
      <x:c r="H27" s="11" t="n">
        <x:f>IF(G27=0,0,F27/G27)</x:f>
        <x:v>0.9968318861021731</x:v>
      </x:c>
      <x:c r="I27" s="12" t="n">
        <x:v>1074</x:v>
      </x:c>
      <x:c r="J27" s="12" t="n">
        <x:v>1074</x:v>
      </x:c>
      <x:c r="K27" s="11" t="n">
        <x:f>IF(J27=0,0,I27/J27)</x:f>
        <x:v>1</x:v>
      </x:c>
      <x:c r="L27" s="10" t="n">
        <x:v>0</x:v>
      </x:c>
      <x:c r="M27" s="10" t="n">
        <x:f>F27-L27</x:f>
        <x:v>54276.3</x:v>
      </x:c>
      <x:c r="N27" s="10" t="n">
        <x:v>0</x:v>
      </x:c>
      <x:c r="O27" s="10" t="str">
        <x:v>Да</x:v>
      </x:c>
      <x:c r="P27" s="13" t="n">
        <x:v>45351</x:v>
      </x:c>
      <x:c r="Q27" s="10" t="n">
        <x:v>0</x:v>
      </x:c>
      <x:c r="R27" s="10"/>
      <x:c r="S27" s="12" t="n">
        <x:v>1</x:v>
      </x:c>
      <x:c r="T27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27" s="8" t="str">
        <x:v>https://fr.mos.ru/uchastnikam-programmy/karta-renovatsii/stroitelnyy-pr-d-z-u-9-13/</x:v>
      </x:c>
      <x:c r="V27" s="14" t="n">
        <x:v>175729.88602078622</x:v>
      </x:c>
      <x:c r="W27" s="14"/>
      <x:c r="X27" s="15" t="str">
        <x:f>IF(OR(V27="",W27=""),"",V27/W27-1)</x:f>
      </x:c>
    </x:row>
    <x:row r="28" ht="65" customHeight="1">
      <x:c r="A28" s="8" t="str">
        <x:v>66447</x:v>
      </x:c>
      <x:c r="B28" s="9" t="str">
        <x:v>Одесская</x:v>
      </x:c>
      <x:c r="C28" s="9" t="str">
        <x:v>Реновация: покупатель косвенно</x:v>
      </x:c>
      <x:c r="D28" s="13" t="n">
        <x:v>45962</x:v>
      </x:c>
      <x:c r="E28" s="8" t="str">
        <x:v>Типовой</x:v>
      </x:c>
      <x:c r="F28" s="10" t="n">
        <x:v>41076.2</x:v>
      </x:c>
      <x:c r="G28" s="10" t="n">
        <x:v>42110.1</x:v>
      </x:c>
      <x:c r="H28" s="11" t="n">
        <x:f>IF(G28=0,0,F28/G28)</x:f>
        <x:v>0.9754476954459856</x:v>
      </x:c>
      <x:c r="I28" s="12" t="n">
        <x:v>660</x:v>
      </x:c>
      <x:c r="J28" s="12" t="n">
        <x:v>660</x:v>
      </x:c>
      <x:c r="K28" s="11" t="n">
        <x:f>IF(J28=0,0,I28/J28)</x:f>
        <x:v>1</x:v>
      </x:c>
      <x:c r="L28" s="10" t="n">
        <x:v>0</x:v>
      </x:c>
      <x:c r="M28" s="10" t="n">
        <x:f>F28-L28</x:f>
        <x:v>41076.2</x:v>
      </x:c>
      <x:c r="N28" s="10" t="n">
        <x:v>0</x:v>
      </x:c>
      <x:c r="O28" s="10" t="str">
        <x:v>Да</x:v>
      </x:c>
      <x:c r="P28" s="13" t="n">
        <x:v>45834</x:v>
      </x:c>
      <x:c r="Q28" s="10" t="n">
        <x:v>0</x:v>
      </x:c>
      <x:c r="R28" s="10"/>
      <x:c r="S28" s="12" t="n">
        <x:v>1</x:v>
      </x:c>
      <x:c r="T28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28" s="8" t="str">
        <x:v>https://fr.mos.ru/uchastnikam-programmy/karta-renovatsii/odesskaya-ul-z-u-6/</x:v>
      </x:c>
      <x:c r="V28" s="14" t="n">
        <x:v>182786.2567089945</x:v>
      </x:c>
      <x:c r="W28" s="14"/>
      <x:c r="X28" s="15" t="str">
        <x:f>IF(OR(V28="",W28=""),"",V28/W28-1)</x:f>
      </x:c>
    </x:row>
    <x:row r="29" ht="65" customHeight="1">
      <x:c r="A29" s="8" t="str">
        <x:v>70300</x:v>
      </x:c>
      <x:c r="B29" s="9" t="str">
        <x:v>На Амурской</x:v>
      </x:c>
      <x:c r="C29" s="9" t="str">
        <x:v>Реновация: покупатель косвенно</x:v>
      </x:c>
      <x:c r="D29" s="13" t="n">
        <x:v>46174</x:v>
      </x:c>
      <x:c r="E29" s="8" t="str">
        <x:v>Типовой</x:v>
      </x:c>
      <x:c r="F29" s="10" t="n">
        <x:v>32873.3</x:v>
      </x:c>
      <x:c r="G29" s="10" t="n">
        <x:v>33714</x:v>
      </x:c>
      <x:c r="H29" s="11" t="n">
        <x:f>IF(G29=0,0,F29/G29)</x:f>
        <x:v>0.9750637717268791</x:v>
      </x:c>
      <x:c r="I29" s="12" t="n">
        <x:v>538</x:v>
      </x:c>
      <x:c r="J29" s="12" t="n">
        <x:v>538</x:v>
      </x:c>
      <x:c r="K29" s="11" t="n">
        <x:f>IF(J29=0,0,I29/J29)</x:f>
        <x:v>1</x:v>
      </x:c>
      <x:c r="L29" s="10" t="n">
        <x:v>0</x:v>
      </x:c>
      <x:c r="M29" s="10" t="n">
        <x:f>F29-L29</x:f>
        <x:v>32873.3</x:v>
      </x:c>
      <x:c r="N29" s="10" t="n">
        <x:v>0</x:v>
      </x:c>
      <x:c r="O29" s="10" t="str">
        <x:v>Да</x:v>
      </x:c>
      <x:c r="P29" s="13" t="n">
        <x:v>46064</x:v>
      </x:c>
      <x:c r="Q29" s="10" t="n">
        <x:v>0</x:v>
      </x:c>
      <x:c r="R29" s="10"/>
      <x:c r="S29" s="12" t="n">
        <x:v>1</x:v>
      </x:c>
      <x:c r="T29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29" s="8" t="str">
        <x:v>https://fr.mos.ru/news/v-golyanove-postroyat-eshche-odin-zhiloy-dom-po-programme-renovatsii/</x:v>
      </x:c>
      <x:c r="V29" s="14" t="n">
        <x:v>183465.00143824925</x:v>
      </x:c>
      <x:c r="W29" s="14"/>
      <x:c r="X29" s="15" t="str">
        <x:f>IF(OR(V29="",W29=""),"",V29/W29-1)</x:f>
      </x:c>
    </x:row>
    <x:row r="30" ht="65" customHeight="1">
      <x:c r="A30" s="8" t="str">
        <x:v>69317</x:v>
      </x:c>
      <x:c r="B30" s="9" t="str">
        <x:v>На Амурской</x:v>
      </x:c>
      <x:c r="C30" s="9" t="str">
        <x:v>Реновация: покупатель косвенно</x:v>
      </x:c>
      <x:c r="D30" s="13" t="n">
        <x:v>46174</x:v>
      </x:c>
      <x:c r="E30" s="8" t="str">
        <x:v>Типовой</x:v>
      </x:c>
      <x:c r="F30" s="10" t="n">
        <x:v>31148.2</x:v>
      </x:c>
      <x:c r="G30" s="10" t="n">
        <x:v>32034.4</x:v>
      </x:c>
      <x:c r="H30" s="11" t="n">
        <x:f>IF(G30=0,0,F30/G30)</x:f>
        <x:v>0.9723359888120271</x:v>
      </x:c>
      <x:c r="I30" s="12" t="n">
        <x:v>538</x:v>
      </x:c>
      <x:c r="J30" s="12" t="n">
        <x:v>538</x:v>
      </x:c>
      <x:c r="K30" s="11" t="n">
        <x:f>IF(J30=0,0,I30/J30)</x:f>
        <x:v>1</x:v>
      </x:c>
      <x:c r="L30" s="10" t="n">
        <x:v>0</x:v>
      </x:c>
      <x:c r="M30" s="10" t="n">
        <x:f>F30-L30</x:f>
        <x:v>31148.2</x:v>
      </x:c>
      <x:c r="N30" s="10" t="n">
        <x:v>0</x:v>
      </x:c>
      <x:c r="O30" s="10" t="str">
        <x:v>Да</x:v>
      </x:c>
      <x:c r="P30" s="13" t="n">
        <x:v>46001</x:v>
      </x:c>
      <x:c r="Q30" s="10" t="n">
        <x:v>0</x:v>
      </x:c>
      <x:c r="R30" s="10"/>
      <x:c r="S30" s="12" t="n">
        <x:v>1</x:v>
      </x:c>
      <x:c r="T30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0" s="8" t="str">
        <x:v>https://fr.mos.ru/uchastnikam-programmy/karta-renovatsii/amurskaya-ul-vld-26/</x:v>
      </x:c>
      <x:c r="V30" s="14" t="n">
        <x:v>185704.57168215179</x:v>
      </x:c>
      <x:c r="W30" s="14"/>
      <x:c r="X30" s="15" t="str">
        <x:f>IF(OR(V30="",W30=""),"",V30/W30-1)</x:f>
      </x:c>
    </x:row>
    <x:row r="31" ht="65" customHeight="1">
      <x:c r="A31" s="8" t="str">
        <x:v>57013</x:v>
      </x:c>
      <x:c r="B31" s="9" t="str">
        <x:v>Боровское ш. (Шеф-инженер)</x:v>
      </x:c>
      <x:c r="C31" s="9" t="str">
        <x:v>Реновация: покупатель косвенно</x:v>
      </x:c>
      <x:c r="D31" s="13" t="n">
        <x:v>45413</x:v>
      </x:c>
      <x:c r="E31" s="8" t="str">
        <x:v>Комфорт</x:v>
      </x:c>
      <x:c r="F31" s="10" t="n">
        <x:v>23828.4</x:v>
      </x:c>
      <x:c r="G31" s="10" t="n">
        <x:v>23828.4</x:v>
      </x:c>
      <x:c r="H31" s="11" t="n">
        <x:f>IF(G31=0,0,F31/G31)</x:f>
        <x:v>1</x:v>
      </x:c>
      <x:c r="I31" s="12" t="n">
        <x:v>384</x:v>
      </x:c>
      <x:c r="J31" s="12" t="n">
        <x:v>384</x:v>
      </x:c>
      <x:c r="K31" s="11" t="n">
        <x:f>IF(J31=0,0,I31/J31)</x:f>
        <x:v>1</x:v>
      </x:c>
      <x:c r="L31" s="10" t="n">
        <x:v>0</x:v>
      </x:c>
      <x:c r="M31" s="10" t="n">
        <x:f>F31-L31</x:f>
        <x:v>23828.4</x:v>
      </x:c>
      <x:c r="N31" s="10" t="n">
        <x:v>0</x:v>
      </x:c>
      <x:c r="O31" s="10" t="str">
        <x:v>Да</x:v>
      </x:c>
      <x:c r="P31" s="13" t="n">
        <x:v>45309</x:v>
      </x:c>
      <x:c r="Q31" s="10" t="n">
        <x:v>0</x:v>
      </x:c>
      <x:c r="R31" s="10"/>
      <x:c r="S31" s="12" t="n">
        <x:v>1</x:v>
      </x:c>
      <x:c r="T31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1" s="8" t="str">
        <x:v>https://fr.mos.ru/uchastnikam-programmy/karta-renovatsii/borovskoe-sh-z-u-26/</x:v>
      </x:c>
      <x:c r="V31" s="14" t="n">
        <x:v>152958.245730305</x:v>
      </x:c>
      <x:c r="W31" s="14"/>
      <x:c r="X31" s="15" t="str">
        <x:f>IF(OR(V31="",W31=""),"",V31/W31-1)</x:f>
      </x:c>
    </x:row>
    <x:row r="32" ht="65" customHeight="1">
      <x:c r="A32" s="8" t="str">
        <x:v>66448</x:v>
      </x:c>
      <x:c r="B32" s="9" t="str">
        <x:v>Одесская</x:v>
      </x:c>
      <x:c r="C32" s="9" t="str">
        <x:v>Реновация: покупатель косвенно</x:v>
      </x:c>
      <x:c r="D32" s="13" t="n">
        <x:v>45931</x:v>
      </x:c>
      <x:c r="E32" s="8" t="str">
        <x:v>Типовой</x:v>
      </x:c>
      <x:c r="F32" s="10" t="n">
        <x:v>22299.1</x:v>
      </x:c>
      <x:c r="G32" s="10" t="n">
        <x:v>22847.4</x:v>
      </x:c>
      <x:c r="H32" s="11" t="n">
        <x:f>IF(G32=0,0,F32/G32)</x:f>
        <x:v>0.9760016457014802</x:v>
      </x:c>
      <x:c r="I32" s="12" t="n">
        <x:v>362</x:v>
      </x:c>
      <x:c r="J32" s="12" t="n">
        <x:v>362</x:v>
      </x:c>
      <x:c r="K32" s="11" t="n">
        <x:f>IF(J32=0,0,I32/J32)</x:f>
        <x:v>1</x:v>
      </x:c>
      <x:c r="L32" s="10" t="n">
        <x:v>0</x:v>
      </x:c>
      <x:c r="M32" s="10" t="n">
        <x:f>F32-L32</x:f>
        <x:v>22299.1</x:v>
      </x:c>
      <x:c r="N32" s="10" t="n">
        <x:v>0</x:v>
      </x:c>
      <x:c r="O32" s="10" t="str">
        <x:v>Да</x:v>
      </x:c>
      <x:c r="P32" s="13" t="n">
        <x:v>45834</x:v>
      </x:c>
      <x:c r="Q32" s="10" t="n">
        <x:v>0</x:v>
      </x:c>
      <x:c r="R32" s="10"/>
      <x:c r="S32" s="12" t="n">
        <x:v>1</x:v>
      </x:c>
      <x:c r="T32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2" s="8" t="str">
        <x:v>https://fr.mos.ru/uchastnikam-programmy/karta-renovatsii/odesskaya-ul-z-u-6/</x:v>
      </x:c>
      <x:c r="V32" s="14" t="n">
        <x:v>170704.39150369298</x:v>
      </x:c>
      <x:c r="W32" s="14"/>
      <x:c r="X32" s="15" t="str">
        <x:f>IF(OR(V32="",W32=""),"",V32/W32-1)</x:f>
      </x:c>
    </x:row>
    <x:row r="33" ht="65" customHeight="1">
      <x:c r="A33" s="8" t="str">
        <x:v>65337</x:v>
      </x:c>
      <x:c r="B33" s="9" t="str">
        <x:v>Солос</x:v>
      </x:c>
      <x:c r="C33" s="9" t="str">
        <x:v>Реновация: покупатель косвенно</x:v>
      </x:c>
      <x:c r="D33" s="13" t="n">
        <x:v>45870</x:v>
      </x:c>
      <x:c r="E33" s="8" t="str">
        <x:v>Комфорт</x:v>
      </x:c>
      <x:c r="F33" s="10" t="n">
        <x:v>21453.8</x:v>
      </x:c>
      <x:c r="G33" s="10" t="n">
        <x:v>21453.8</x:v>
      </x:c>
      <x:c r="H33" s="11" t="n">
        <x:f>IF(G33=0,0,F33/G33)</x:f>
        <x:v>1</x:v>
      </x:c>
      <x:c r="I33" s="12" t="n">
        <x:v>355</x:v>
      </x:c>
      <x:c r="J33" s="12" t="n">
        <x:v>355</x:v>
      </x:c>
      <x:c r="K33" s="11" t="n">
        <x:f>IF(J33=0,0,I33/J33)</x:f>
        <x:v>1</x:v>
      </x:c>
      <x:c r="L33" s="10" t="n">
        <x:v>0</x:v>
      </x:c>
      <x:c r="M33" s="10" t="n">
        <x:f>F33-L33</x:f>
        <x:v>21453.8</x:v>
      </x:c>
      <x:c r="N33" s="10" t="n">
        <x:v>0</x:v>
      </x:c>
      <x:c r="O33" s="10" t="str">
        <x:v>Да</x:v>
      </x:c>
      <x:c r="P33" s="13" t="n">
        <x:v>45758</x:v>
      </x:c>
      <x:c r="Q33" s="10" t="n">
        <x:v>0</x:v>
      </x:c>
      <x:c r="R33" s="10"/>
      <x:c r="S33" s="12" t="n">
        <x:v>1</x:v>
      </x:c>
      <x:c r="T33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3" s="8" t="str">
        <x:v>https://elitnoe.ru/complexes/1137-zhk-solos</x:v>
      </x:c>
      <x:c r="V33" s="14" t="n">
        <x:v>161216.10998704194</x:v>
      </x:c>
      <x:c r="W33" s="14"/>
      <x:c r="X33" s="15" t="str">
        <x:f>IF(OR(V33="",W33=""),"",V33/W33-1)</x:f>
      </x:c>
    </x:row>
    <x:row r="34" ht="65" customHeight="1">
      <x:c r="A34" s="8" t="str">
        <x:v>72831</x:v>
      </x:c>
      <x:c r="B34" s="9" t="str">
        <x:v>1-й Боткинский, 7/72</x:v>
      </x:c>
      <x:c r="C34" s="9" t="str">
        <x:v>Реновация: покупатель косвенно</x:v>
      </x:c>
      <x:c r="D34" s="13" t="n">
        <x:v>46266</x:v>
      </x:c>
      <x:c r="E34" s="8" t="str">
        <x:v>Комфорт</x:v>
      </x:c>
      <x:c r="F34" s="10" t="n">
        <x:v>20116.5</x:v>
      </x:c>
      <x:c r="G34" s="10" t="n">
        <x:v>20116.5</x:v>
      </x:c>
      <x:c r="H34" s="11" t="n">
        <x:f>IF(G34=0,0,F34/G34)</x:f>
        <x:v>1</x:v>
      </x:c>
      <x:c r="I34" s="12" t="n">
        <x:v>311</x:v>
      </x:c>
      <x:c r="J34" s="12" t="n">
        <x:v>311</x:v>
      </x:c>
      <x:c r="K34" s="11" t="n">
        <x:f>IF(J34=0,0,I34/J34)</x:f>
        <x:v>1</x:v>
      </x:c>
      <x:c r="L34" s="10" t="n">
        <x:v>0</x:v>
      </x:c>
      <x:c r="M34" s="10" t="n">
        <x:f>F34-L34</x:f>
        <x:v>20116.5</x:v>
      </x:c>
      <x:c r="N34" s="10" t="n">
        <x:v>0</x:v>
      </x:c>
      <x:c r="O34" s="10" t="str">
        <x:v>Да</x:v>
      </x:c>
      <x:c r="P34" s="13" t="n">
        <x:v>46226</x:v>
      </x:c>
      <x:c r="Q34" s="10" t="n">
        <x:v>0</x:v>
      </x:c>
      <x:c r="R34" s="10"/>
      <x:c r="S34" s="12" t="n">
        <x:v>1</x:v>
      </x:c>
      <x:c r="T34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4" s="8" t="str">
        <x:v>https://наш.дом.рф/files/726E732E646F63756D656E74733AD7A8755344564EBE9C0183B508629D19</x:v>
      </x:c>
      <x:c r="V34" s="14" t="n">
        <x:v>181900</x:v>
      </x:c>
      <x:c r="W34" s="14"/>
      <x:c r="X34" s="15" t="str">
        <x:f>IF(OR(V34="",W34=""),"",V34/W34-1)</x:f>
      </x:c>
    </x:row>
    <x:row r="35" ht="65" customHeight="1">
      <x:c r="A35" s="8" t="str">
        <x:v>54179</x:v>
      </x:c>
      <x:c r="B35" s="9" t="str">
        <x:v>Академик</x:v>
      </x:c>
      <x:c r="C35" s="9" t="str">
        <x:v>Реновация: покупатель косвенно</x:v>
      </x:c>
      <x:c r="D35" s="13" t="n">
        <x:v>45261</x:v>
      </x:c>
      <x:c r="E35" s="8" t="str">
        <x:v>Типовой</x:v>
      </x:c>
      <x:c r="F35" s="10" t="n">
        <x:v>19945.6</x:v>
      </x:c>
      <x:c r="G35" s="10" t="n">
        <x:v>19945.6</x:v>
      </x:c>
      <x:c r="H35" s="11" t="n">
        <x:f>IF(G35=0,0,F35/G35)</x:f>
        <x:v>1</x:v>
      </x:c>
      <x:c r="I35" s="12" t="n">
        <x:v>378</x:v>
      </x:c>
      <x:c r="J35" s="12" t="n">
        <x:v>378</x:v>
      </x:c>
      <x:c r="K35" s="11" t="n">
        <x:f>IF(J35=0,0,I35/J35)</x:f>
        <x:v>1</x:v>
      </x:c>
      <x:c r="L35" s="10" t="n">
        <x:v>0</x:v>
      </x:c>
      <x:c r="M35" s="10" t="n">
        <x:f>F35-L35</x:f>
        <x:v>19945.6</x:v>
      </x:c>
      <x:c r="N35" s="10" t="n">
        <x:v>0</x:v>
      </x:c>
      <x:c r="O35" s="10" t="str">
        <x:v>Нет</x:v>
      </x:c>
      <x:c r="P35" s="13" t="n">
        <x:v>45180</x:v>
      </x:c>
      <x:c r="Q35" s="10" t="n">
        <x:v>0</x:v>
      </x:c>
      <x:c r="R35" s="10" t="n">
        <x:v>0</x:v>
      </x:c>
      <x:c r="S35" s="12" t="n">
        <x:v>1</x:v>
      </x:c>
      <x:c r="T35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5" s="8" t="str">
        <x:v>https://vyborstroi.ru/press/company-news/vybor-vozvel-zhiloy-kompleks-po-programme-renovatsii-v-moskve/</x:v>
      </x:c>
      <x:c r="V35" s="14" t="n">
        <x:v>166044.00000000003</x:v>
      </x:c>
      <x:c r="W35" s="14"/>
      <x:c r="X35" s="15" t="str">
        <x:f>IF(OR(V35="",W35=""),"",V35/W35-1)</x:f>
      </x:c>
    </x:row>
    <x:row r="36" ht="65" customHeight="1">
      <x:c r="A36" s="8" t="str">
        <x:v>44885</x:v>
      </x:c>
      <x:c r="B36" s="9" t="str">
        <x:v>Пресненский Вал 27</x:v>
      </x:c>
      <x:c r="C36" s="9" t="str">
        <x:v>Реновация: покупатель косвенно</x:v>
      </x:c>
      <x:c r="D36" s="13" t="n">
        <x:v>44986</x:v>
      </x:c>
      <x:c r="E36" s="8" t="str">
        <x:v>Типовой</x:v>
      </x:c>
      <x:c r="F36" s="10" t="n">
        <x:v>19922.75</x:v>
      </x:c>
      <x:c r="G36" s="10" t="n">
        <x:v>19942.68</x:v>
      </x:c>
      <x:c r="H36" s="11" t="n">
        <x:f>IF(G36=0,0,F36/G36)</x:f>
        <x:v>0.9990006358222666</x:v>
      </x:c>
      <x:c r="I36" s="12" t="n">
        <x:v>344</x:v>
      </x:c>
      <x:c r="J36" s="12" t="n">
        <x:v>344</x:v>
      </x:c>
      <x:c r="K36" s="11" t="n">
        <x:f>IF(J36=0,0,I36/J36)</x:f>
        <x:v>1</x:v>
      </x:c>
      <x:c r="L36" s="10" t="n">
        <x:v>0</x:v>
      </x:c>
      <x:c r="M36" s="10" t="n">
        <x:f>F36-L36</x:f>
        <x:v>19922.75</x:v>
      </x:c>
      <x:c r="N36" s="10" t="n">
        <x:v>0</x:v>
      </x:c>
      <x:c r="O36" s="10" t="str">
        <x:v>Да</x:v>
      </x:c>
      <x:c r="P36" s="13" t="n">
        <x:v>44593</x:v>
      </x:c>
      <x:c r="Q36" s="10" t="n">
        <x:v>0</x:v>
      </x:c>
      <x:c r="R36" s="10"/>
      <x:c r="S36" s="12" t="n">
        <x:v>1</x:v>
      </x:c>
      <x:c r="T36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6" s="8" t="str">
        <x:v>https://fr.mos.ru/uchastnikam-programmy/karta-renovatsii/presnenskiy-val-ul-d-19/</x:v>
      </x:c>
      <x:c r="V36" s="14" t="n">
        <x:v>99378.00002509693</x:v>
      </x:c>
      <x:c r="W36" s="14"/>
      <x:c r="X36" s="15" t="str">
        <x:f>IF(OR(V36="",W36=""),"",V36/W36-1)</x:f>
      </x:c>
    </x:row>
    <x:row r="37" ht="65" customHeight="1">
      <x:c r="A37" s="8" t="str">
        <x:v>54178</x:v>
      </x:c>
      <x:c r="B37" s="9" t="str">
        <x:v>Академик</x:v>
      </x:c>
      <x:c r="C37" s="9" t="str">
        <x:v>Реновация: покупатель косвенно</x:v>
      </x:c>
      <x:c r="D37" s="13" t="n">
        <x:v>45261</x:v>
      </x:c>
      <x:c r="E37" s="8" t="str">
        <x:v>Типовой</x:v>
      </x:c>
      <x:c r="F37" s="10" t="n">
        <x:v>19112.2</x:v>
      </x:c>
      <x:c r="G37" s="10" t="n">
        <x:v>19112.2</x:v>
      </x:c>
      <x:c r="H37" s="11" t="n">
        <x:f>IF(G37=0,0,F37/G37)</x:f>
        <x:v>1</x:v>
      </x:c>
      <x:c r="I37" s="12" t="n">
        <x:v>358</x:v>
      </x:c>
      <x:c r="J37" s="12" t="n">
        <x:v>358</x:v>
      </x:c>
      <x:c r="K37" s="11" t="n">
        <x:f>IF(J37=0,0,I37/J37)</x:f>
        <x:v>1</x:v>
      </x:c>
      <x:c r="L37" s="10" t="n">
        <x:v>0</x:v>
      </x:c>
      <x:c r="M37" s="10" t="n">
        <x:f>F37-L37</x:f>
        <x:v>19112.2</x:v>
      </x:c>
      <x:c r="N37" s="10" t="n">
        <x:v>0</x:v>
      </x:c>
      <x:c r="O37" s="10" t="str">
        <x:v>Нет</x:v>
      </x:c>
      <x:c r="P37" s="13" t="n">
        <x:v>45180</x:v>
      </x:c>
      <x:c r="Q37" s="10" t="n">
        <x:v>0</x:v>
      </x:c>
      <x:c r="R37" s="10" t="n">
        <x:v>0</x:v>
      </x:c>
      <x:c r="S37" s="12" t="n">
        <x:v>1</x:v>
      </x:c>
      <x:c r="T37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7" s="8" t="str">
        <x:v>https://fr.mos.ru/uchastnikam-programmy/karta-renovatsii/gorodskaya-ul-d-12-14/</x:v>
      </x:c>
      <x:c r="V37" s="14" t="n">
        <x:v>166044</x:v>
      </x:c>
      <x:c r="W37" s="14"/>
      <x:c r="X37" s="15" t="str">
        <x:f>IF(OR(V37="",W37=""),"",V37/W37-1)</x:f>
      </x:c>
    </x:row>
    <x:row r="38" ht="65" customHeight="1">
      <x:c r="A38" s="8" t="str">
        <x:v>66443</x:v>
      </x:c>
      <x:c r="B38" s="9" t="str">
        <x:v>Одесская</x:v>
      </x:c>
      <x:c r="C38" s="9" t="str">
        <x:v>Реновация: покупатель косвенно</x:v>
      </x:c>
      <x:c r="D38" s="13" t="n">
        <x:v>45962</x:v>
      </x:c>
      <x:c r="E38" s="8" t="str">
        <x:v>Типовой</x:v>
      </x:c>
      <x:c r="F38" s="10" t="n">
        <x:v>18164.85</x:v>
      </x:c>
      <x:c r="G38" s="10" t="n">
        <x:v>18585.7</x:v>
      </x:c>
      <x:c r="H38" s="11" t="n">
        <x:f>IF(G38=0,0,F38/G38)</x:f>
        <x:v>0.9773562470071075</x:v>
      </x:c>
      <x:c r="I38" s="12" t="n">
        <x:v>294</x:v>
      </x:c>
      <x:c r="J38" s="12" t="n">
        <x:v>294</x:v>
      </x:c>
      <x:c r="K38" s="11" t="n">
        <x:f>IF(J38=0,0,I38/J38)</x:f>
        <x:v>1</x:v>
      </x:c>
      <x:c r="L38" s="10" t="n">
        <x:v>0</x:v>
      </x:c>
      <x:c r="M38" s="10" t="n">
        <x:f>F38-L38</x:f>
        <x:v>18164.85</x:v>
      </x:c>
      <x:c r="N38" s="10" t="n">
        <x:v>0</x:v>
      </x:c>
      <x:c r="O38" s="10" t="str">
        <x:v>Да</x:v>
      </x:c>
      <x:c r="P38" s="13" t="n">
        <x:v>45834</x:v>
      </x:c>
      <x:c r="Q38" s="10" t="n">
        <x:v>0</x:v>
      </x:c>
      <x:c r="R38" s="10"/>
      <x:c r="S38" s="12" t="n">
        <x:v>1</x:v>
      </x:c>
      <x:c r="T38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8" s="8" t="str">
        <x:v>https://fr.mos.ru/uchastnikam-programmy/karta-renovatsii/odesskaya-ul-z-u-4/</x:v>
      </x:c>
      <x:c r="V38" s="14" t="n">
        <x:v>198134.5758902496</x:v>
      </x:c>
      <x:c r="W38" s="14"/>
      <x:c r="X38" s="15" t="str">
        <x:f>IF(OR(V38="",W38=""),"",V38/W38-1)</x:f>
      </x:c>
    </x:row>
    <x:row r="39" ht="65" customHeight="1">
      <x:c r="A39" s="8" t="str">
        <x:v>59864</x:v>
      </x:c>
      <x:c r="B39" s="9" t="str">
        <x:v>Щербаковская 5А</x:v>
      </x:c>
      <x:c r="C39" s="9" t="str">
        <x:v>Реновация: покупатель косвенно</x:v>
      </x:c>
      <x:c r="D39" s="13" t="n">
        <x:v>45566</x:v>
      </x:c>
      <x:c r="E39" s="8" t="str">
        <x:v>Типовой</x:v>
      </x:c>
      <x:c r="F39" s="10" t="n">
        <x:v>14889</x:v>
      </x:c>
      <x:c r="G39" s="10" t="n">
        <x:v>14889</x:v>
      </x:c>
      <x:c r="H39" s="11" t="n">
        <x:f>IF(G39=0,0,F39/G39)</x:f>
        <x:v>1</x:v>
      </x:c>
      <x:c r="I39" s="12" t="n">
        <x:v>252</x:v>
      </x:c>
      <x:c r="J39" s="12" t="n">
        <x:v>252</x:v>
      </x:c>
      <x:c r="K39" s="11" t="n">
        <x:f>IF(J39=0,0,I39/J39)</x:f>
        <x:v>1</x:v>
      </x:c>
      <x:c r="L39" s="10" t="n">
        <x:v>0</x:v>
      </x:c>
      <x:c r="M39" s="10" t="n">
        <x:f>F39-L39</x:f>
        <x:v>14889</x:v>
      </x:c>
      <x:c r="N39" s="10" t="n">
        <x:v>0</x:v>
      </x:c>
      <x:c r="O39" s="10" t="str">
        <x:v>Да</x:v>
      </x:c>
      <x:c r="P39" s="13" t="n">
        <x:v>45442</x:v>
      </x:c>
      <x:c r="Q39" s="10" t="n">
        <x:v>0</x:v>
      </x:c>
      <x:c r="R39" s="10"/>
      <x:c r="S39" s="12" t="n">
        <x:v>1</x:v>
      </x:c>
      <x:c r="T39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39" s="8" t="str">
        <x:v>https://fr.mos.ru/uchastnikam-programmy/karta-renovatsii/shcherbakovskaya-ul-vld-5a/</x:v>
      </x:c>
      <x:c r="V39" s="14" t="n">
        <x:v>161951.30250520518</x:v>
      </x:c>
      <x:c r="W39" s="14"/>
      <x:c r="X39" s="15" t="str">
        <x:f>IF(OR(V39="",W39=""),"",V39/W39-1)</x:f>
      </x:c>
    </x:row>
    <x:row r="40" ht="65" customHeight="1">
      <x:c r="A40" s="8" t="str">
        <x:v>73038</x:v>
      </x:c>
      <x:c r="B40" s="9" t="str">
        <x:v>пр-кт Балаклавский вл.34А</x:v>
      </x:c>
      <x:c r="C40" s="9" t="str">
        <x:v>Реновация: покупатель косвенно</x:v>
      </x:c>
      <x:c r="D40" s="13" t="n">
        <x:v>46266</x:v>
      </x:c>
      <x:c r="E40" s="8" t="str">
        <x:v>Типовой</x:v>
      </x:c>
      <x:c r="F40" s="10" t="n">
        <x:v>12186.4</x:v>
      </x:c>
      <x:c r="G40" s="10" t="n">
        <x:v>12475.7</x:v>
      </x:c>
      <x:c r="H40" s="11" t="n">
        <x:f>IF(G40=0,0,F40/G40)</x:f>
        <x:v>0.9768109204293145</x:v>
      </x:c>
      <x:c r="I40" s="12" t="n">
        <x:v>198</x:v>
      </x:c>
      <x:c r="J40" s="12" t="n">
        <x:v>198</x:v>
      </x:c>
      <x:c r="K40" s="11" t="n">
        <x:f>IF(J40=0,0,I40/J40)</x:f>
        <x:v>1</x:v>
      </x:c>
      <x:c r="L40" s="10" t="n">
        <x:v>0</x:v>
      </x:c>
      <x:c r="M40" s="10" t="n">
        <x:f>F40-L40</x:f>
        <x:v>12186.4</x:v>
      </x:c>
      <x:c r="N40" s="10" t="n">
        <x:v>0</x:v>
      </x:c>
      <x:c r="O40" s="10" t="str">
        <x:v>Да</x:v>
      </x:c>
      <x:c r="P40" s="13" t="n">
        <x:v>46240</x:v>
      </x:c>
      <x:c r="Q40" s="10" t="n">
        <x:v>0</x:v>
      </x:c>
      <x:c r="R40" s="10"/>
      <x:c r="S40" s="12" t="n">
        <x:v>1</x:v>
      </x:c>
      <x:c r="T40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40" s="8" t="str">
        <x:v>https://fr.mos.ru/uchastnikam-programmy/karta-renovatsii/balaklavskiy-pr-kt-vld-34a/</x:v>
      </x:c>
      <x:c r="V40" s="14" t="n">
        <x:v>184843.68632163721</x:v>
      </x:c>
      <x:c r="W40" s="14"/>
      <x:c r="X40" s="15" t="str">
        <x:f>IF(OR(V40="",W40=""),"",V40/W40-1)</x:f>
      </x:c>
    </x:row>
    <x:row r="41" ht="65" customHeight="1">
      <x:c r="A41" s="8" t="str">
        <x:v>62589</x:v>
      </x:c>
      <x:c r="B41" s="9" t="str">
        <x:v>Ракурс</x:v>
      </x:c>
      <x:c r="C41" s="9" t="str">
        <x:v>Реновация: покупатель косвенно</x:v>
      </x:c>
      <x:c r="D41" s="13" t="n">
        <x:v>45597</x:v>
      </x:c>
      <x:c r="E41" s="8" t="str">
        <x:v>Бизнес</x:v>
      </x:c>
      <x:c r="F41" s="10" t="n">
        <x:v>9855.2</x:v>
      </x:c>
      <x:c r="G41" s="10" t="n">
        <x:v>9855.2</x:v>
      </x:c>
      <x:c r="H41" s="11" t="n">
        <x:f>IF(G41=0,0,F41/G41)</x:f>
        <x:v>1</x:v>
      </x:c>
      <x:c r="I41" s="12" t="n">
        <x:v>171</x:v>
      </x:c>
      <x:c r="J41" s="12" t="n">
        <x:v>171</x:v>
      </x:c>
      <x:c r="K41" s="11" t="n">
        <x:f>IF(J41=0,0,I41/J41)</x:f>
        <x:v>1</x:v>
      </x:c>
      <x:c r="L41" s="10" t="n">
        <x:v>0</x:v>
      </x:c>
      <x:c r="M41" s="10" t="n">
        <x:f>F41-L41</x:f>
        <x:v>9855.2</x:v>
      </x:c>
      <x:c r="N41" s="10" t="n">
        <x:v>0</x:v>
      </x:c>
      <x:c r="O41" s="10" t="str">
        <x:v>Да</x:v>
      </x:c>
      <x:c r="P41" s="13" t="n">
        <x:v>45574</x:v>
      </x:c>
      <x:c r="Q41" s="10" t="n">
        <x:v>0</x:v>
      </x:c>
      <x:c r="R41" s="10"/>
      <x:c r="S41" s="12" t="n">
        <x:v>1</x:v>
      </x:c>
      <x:c r="T41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41" s="8" t="str">
        <x:v>https://elitnoe.ru/complexes/1135-zhk-rakurs</x:v>
      </x:c>
      <x:c r="V41" s="14" t="n">
        <x:v>166043.99999999997</x:v>
      </x:c>
      <x:c r="W41" s="14"/>
      <x:c r="X41" s="15" t="str">
        <x:f>IF(OR(V41="",W41=""),"",V41/W41-1)</x:f>
      </x:c>
    </x:row>
    <x:row r="42" ht="65" customHeight="1">
      <x:c r="A42" s="8" t="str">
        <x:v>70368</x:v>
      </x:c>
      <x:c r="B42" s="9" t="str">
        <x:v>На Амурской</x:v>
      </x:c>
      <x:c r="C42" s="9" t="str">
        <x:v>Реновация: покупатель косвенно</x:v>
      </x:c>
      <x:c r="D42" s="13" t="n">
        <x:v>46174</x:v>
      </x:c>
      <x:c r="E42" s="8" t="str">
        <x:v>Типовой</x:v>
      </x:c>
      <x:c r="F42" s="10" t="n">
        <x:v>8387.05</x:v>
      </x:c>
      <x:c r="G42" s="10" t="n">
        <x:v>8590.4</x:v>
      </x:c>
      <x:c r="H42" s="11" t="n">
        <x:f>IF(G42=0,0,F42/G42)</x:f>
        <x:v>0.9763282268578878</x:v>
      </x:c>
      <x:c r="I42" s="12" t="n">
        <x:v>135</x:v>
      </x:c>
      <x:c r="J42" s="12" t="n">
        <x:v>135</x:v>
      </x:c>
      <x:c r="K42" s="11" t="n">
        <x:f>IF(J42=0,0,I42/J42)</x:f>
        <x:v>1</x:v>
      </x:c>
      <x:c r="L42" s="10" t="n">
        <x:v>0</x:v>
      </x:c>
      <x:c r="M42" s="10" t="n">
        <x:f>F42-L42</x:f>
        <x:v>8387.05</x:v>
      </x:c>
      <x:c r="N42" s="10" t="n">
        <x:v>0</x:v>
      </x:c>
      <x:c r="O42" s="10" t="str">
        <x:v>Да</x:v>
      </x:c>
      <x:c r="P42" s="13" t="n">
        <x:v>46069</x:v>
      </x:c>
      <x:c r="Q42" s="10" t="n">
        <x:v>0</x:v>
      </x:c>
      <x:c r="R42" s="10"/>
      <x:c r="S42" s="12" t="n">
        <x:v>1</x:v>
      </x:c>
      <x:c r="T42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42" s="8" t="str">
        <x:v>https://fr.mos.ru/uchastnikam-programmy/karta-renovatsii/amurskaya-ul-z-u-46-zona-3-2/</x:v>
      </x:c>
      <x:c r="V42" s="14" t="n">
        <x:v>205735.47467226262</x:v>
      </x:c>
      <x:c r="W42" s="14"/>
      <x:c r="X42" s="15" t="str">
        <x:f>IF(OR(V42="",W42=""),"",V42/W42-1)</x:f>
      </x:c>
    </x:row>
    <x:row r="43" ht="65" customHeight="1">
      <x:c r="A43" s="8" t="str">
        <x:v>71468</x:v>
      </x:c>
      <x:c r="B43" s="9" t="str">
        <x:v>На Прядильной</x:v>
      </x:c>
      <x:c r="C43" s="9" t="str">
        <x:v>Реновация: покупатель косвенно</x:v>
      </x:c>
      <x:c r="D43" s="13" t="n">
        <x:v>46174</x:v>
      </x:c>
      <x:c r="E43" s="8" t="str">
        <x:v>Типовой</x:v>
      </x:c>
      <x:c r="F43" s="10" t="n">
        <x:v>8079.2</x:v>
      </x:c>
      <x:c r="G43" s="10" t="n">
        <x:v>8274.2</x:v>
      </x:c>
      <x:c r="H43" s="11" t="n">
        <x:f>IF(G43=0,0,F43/G43)</x:f>
        <x:v>0.9764327669140218</x:v>
      </x:c>
      <x:c r="I43" s="12" t="n">
        <x:v>126</x:v>
      </x:c>
      <x:c r="J43" s="12" t="n">
        <x:v>126</x:v>
      </x:c>
      <x:c r="K43" s="11" t="n">
        <x:f>IF(J43=0,0,I43/J43)</x:f>
        <x:v>1</x:v>
      </x:c>
      <x:c r="L43" s="10" t="n">
        <x:v>0</x:v>
      </x:c>
      <x:c r="M43" s="10" t="n">
        <x:f>F43-L43</x:f>
        <x:v>8079.2</x:v>
      </x:c>
      <x:c r="N43" s="10" t="n">
        <x:v>0</x:v>
      </x:c>
      <x:c r="O43" s="10" t="str">
        <x:v>Да</x:v>
      </x:c>
      <x:c r="P43" s="13" t="n">
        <x:v>46134</x:v>
      </x:c>
      <x:c r="Q43" s="10" t="n">
        <x:v>0</x:v>
      </x:c>
      <x:c r="R43" s="10"/>
      <x:c r="S43" s="12" t="n">
        <x:v>1</x:v>
      </x:c>
      <x:c r="T43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43" s="8" t="str">
        <x:v>https://fr.mos.ru/uchastnikam-programmy/karta-renovatsii/3-ya-pryadilnaya-ul-z-u-1a/</x:v>
      </x:c>
      <x:c r="V43" s="14" t="n">
        <x:v>216785.2780522824</x:v>
      </x:c>
      <x:c r="W43" s="14"/>
      <x:c r="X43" s="15" t="str">
        <x:f>IF(OR(V43="",W43=""),"",V43/W43-1)</x:f>
      </x:c>
    </x:row>
    <x:row r="44" ht="65" customHeight="1">
      <x:c r="A44" s="8" t="str">
        <x:v>71480</x:v>
      </x:c>
      <x:c r="B44" s="9" t="str">
        <x:v>На Прядильной</x:v>
      </x:c>
      <x:c r="C44" s="9" t="str">
        <x:v>Реновация: покупатель косвенно</x:v>
      </x:c>
      <x:c r="D44" s="13" t="n">
        <x:v>46174</x:v>
      </x:c>
      <x:c r="E44" s="8" t="str">
        <x:v>Типовой</x:v>
      </x:c>
      <x:c r="F44" s="10" t="n">
        <x:v>7562.8</x:v>
      </x:c>
      <x:c r="G44" s="10" t="n">
        <x:v>7759</x:v>
      </x:c>
      <x:c r="H44" s="11" t="n">
        <x:f>IF(G44=0,0,F44/G44)</x:f>
        <x:v>0.9747132362417837</x:v>
      </x:c>
      <x:c r="I44" s="12" t="n">
        <x:v>126</x:v>
      </x:c>
      <x:c r="J44" s="12" t="n">
        <x:v>126</x:v>
      </x:c>
      <x:c r="K44" s="11" t="n">
        <x:f>IF(J44=0,0,I44/J44)</x:f>
        <x:v>1</x:v>
      </x:c>
      <x:c r="L44" s="10" t="n">
        <x:v>0</x:v>
      </x:c>
      <x:c r="M44" s="10" t="n">
        <x:f>F44-L44</x:f>
        <x:v>7562.8</x:v>
      </x:c>
      <x:c r="N44" s="10" t="n">
        <x:v>0</x:v>
      </x:c>
      <x:c r="O44" s="10" t="str">
        <x:v>Да</x:v>
      </x:c>
      <x:c r="P44" s="13" t="n">
        <x:v>46134</x:v>
      </x:c>
      <x:c r="Q44" s="10" t="n">
        <x:v>0</x:v>
      </x:c>
      <x:c r="R44" s="10"/>
      <x:c r="S44" s="12" t="n">
        <x:v>1</x:v>
      </x:c>
      <x:c r="T44" s="9" t="str">
        <x:v>Назначение объекта под реновацию подтверждено; в базе пакет почти на весь корпус. Покупатель по договору отдельно не проверен.</x:v>
      </x:c>
      <x:c r="U44" s="8" t="str">
        <x:v>https://fr.mos.ru/uchastnikam-programmy/karta-renovatsii/2-ya-pryadilnaya-ul-vld-9/</x:v>
      </x:c>
      <x:c r="V44" s="14" t="n">
        <x:v>218675.8666128947</x:v>
      </x:c>
      <x:c r="W44" s="14"/>
      <x:c r="X44" s="15" t="str">
        <x:f>IF(OR(V44="",W44=""),"",V44/W44-1)</x:f>
      </x:c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</x:sheetData>
  <x:conditionalFormatting sqref="C8:C44">
    <x:cfRule type="containsText" dxfId="0" priority="1" operator="containsText" text="Проверить"/>
    <x:cfRule type="containsText" dxfId="1" priority="2" operator="containsText" text="Сверить"/>
    <x:cfRule type="containsText" dxfId="2" priority="3" operator="containsText" text="компенсирован"/>
  </x:conditionalFormatting>
  <x:pageMargins left="0.7" right="0.7" top="0.75" bottom="0.75" header="0.3" footer="0.3"/>
  <x:tableParts count="1">
    <x:tablePart xmlns:r="http://schemas.openxmlformats.org/officeDocument/2006/relationships" r:id="R58d72146c3204a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22" hidden="0" customWidth="1"/>
    <x:col min="5" max="5" width="20" hidden="0" customWidth="1"/>
    <x:col min="6" max="6" width="25" hidden="0" customWidth="1"/>
    <x:col min="7" max="7" width="23" hidden="0" customWidth="1"/>
    <x:col min="8" max="8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Помесячная история отобранных корпусов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 t="str">
        <x:v>Источник: prodoma.sales; значения без ручных изменений. Чистые продажи = покупки минус расторжения в том же месяце.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40" customHeight="1">
      <x:c r="A6" s="7" t="str">
        <x:v>ID ЕИСЖС</x:v>
      </x:c>
      <x:c r="B6" s="7" t="str">
        <x:v>Месяц</x:v>
      </x:c>
      <x:c r="C6" s="7" t="str">
        <x:v>Проект</x:v>
      </x:c>
      <x:c r="D6" s="7" t="str">
        <x:v>Куплено квартир, шт.</x:v>
      </x:c>
      <x:c r="E6" s="7" t="str">
        <x:v>Куплено, м²</x:v>
      </x:c>
      <x:c r="F6" s="7" t="str">
        <x:v>Куплено, руб.</x:v>
      </x:c>
      <x:c r="G6" s="7" t="str">
        <x:v>Расторгнуто, м²</x:v>
      </x:c>
      <x:c r="H6" s="7" t="str">
        <x:v>Чистые продажи, м²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1" t="str">
        <x:v>3373</x:v>
      </x:c>
      <x:c r="B7" s="16" t="n">
        <x:v>44197</x:v>
      </x:c>
      <x:c r="C7" s="1" t="str">
        <x:v>Время</x:v>
      </x:c>
      <x:c r="D7" s="18" t="n">
        <x:v>0</x:v>
      </x:c>
      <x:c r="E7" s="19" t="n">
        <x:v>0</x:v>
      </x:c>
      <x:c r="F7" s="19" t="n">
        <x:v>0</x:v>
      </x:c>
      <x:c r="G7" s="19" t="n">
        <x:v>0</x:v>
      </x:c>
      <x:c r="H7" s="19" t="n">
        <x:f>E7-G7</x:f>
        <x:v>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1" t="str">
        <x:v>3373</x:v>
      </x:c>
      <x:c r="B8" s="16" t="n">
        <x:v>44228</x:v>
      </x:c>
      <x:c r="C8" s="1" t="str">
        <x:v>Время</x:v>
      </x:c>
      <x:c r="D8" s="18" t="n">
        <x:v>1</x:v>
      </x:c>
      <x:c r="E8" s="19" t="n">
        <x:v>68.06</x:v>
      </x:c>
      <x:c r="F8" s="19" t="n">
        <x:v>12179677.3</x:v>
      </x:c>
      <x:c r="G8" s="19" t="n">
        <x:v>59.42</x:v>
      </x:c>
      <x:c r="H8" s="19" t="n">
        <x:f>E8-G8</x:f>
        <x:v>8.64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1" t="str">
        <x:v>3373</x:v>
      </x:c>
      <x:c r="B9" s="16" t="n">
        <x:v>44256</x:v>
      </x:c>
      <x:c r="C9" s="1" t="str">
        <x:v>Время</x:v>
      </x:c>
      <x:c r="D9" s="18" t="n">
        <x:v>0</x:v>
      </x:c>
      <x:c r="E9" s="19" t="n">
        <x:v>0</x:v>
      </x:c>
      <x:c r="F9" s="19" t="n">
        <x:v>0</x:v>
      </x:c>
      <x:c r="G9" s="19" t="n">
        <x:v>0</x:v>
      </x:c>
      <x:c r="H9" s="19" t="n">
        <x:f>E9-G9</x:f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1" t="str">
        <x:v>3373</x:v>
      </x:c>
      <x:c r="B10" s="16" t="n">
        <x:v>44287</x:v>
      </x:c>
      <x:c r="C10" s="1" t="str">
        <x:v>Время</x:v>
      </x:c>
      <x:c r="D10" s="18" t="n">
        <x:v>0</x:v>
      </x:c>
      <x:c r="E10" s="19" t="n">
        <x:v>0</x:v>
      </x:c>
      <x:c r="F10" s="19" t="n">
        <x:v>0</x:v>
      </x:c>
      <x:c r="G10" s="19" t="n">
        <x:v>0</x:v>
      </x:c>
      <x:c r="H10" s="19" t="n">
        <x:f>E10-G10</x:f>
        <x:v>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1" t="str">
        <x:v>3373</x:v>
      </x:c>
      <x:c r="B11" s="16" t="n">
        <x:v>44317</x:v>
      </x:c>
      <x:c r="C11" s="1" t="str">
        <x:v>Время</x:v>
      </x:c>
      <x:c r="D11" s="18" t="n">
        <x:v>0</x:v>
      </x:c>
      <x:c r="E11" s="19" t="n">
        <x:v>0</x:v>
      </x:c>
      <x:c r="F11" s="19" t="n">
        <x:v>0</x:v>
      </x:c>
      <x:c r="G11" s="19" t="n">
        <x:v>0</x:v>
      </x:c>
      <x:c r="H11" s="19" t="n">
        <x:f>E11-G11</x:f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1" t="str">
        <x:v>3373</x:v>
      </x:c>
      <x:c r="B12" s="16" t="n">
        <x:v>44348</x:v>
      </x:c>
      <x:c r="C12" s="1" t="str">
        <x:v>Время</x:v>
      </x:c>
      <x:c r="D12" s="18" t="n">
        <x:v>0</x:v>
      </x:c>
      <x:c r="E12" s="19" t="n">
        <x:v>0</x:v>
      </x:c>
      <x:c r="F12" s="19" t="n">
        <x:v>0</x:v>
      </x:c>
      <x:c r="G12" s="19" t="n">
        <x:v>0</x:v>
      </x:c>
      <x:c r="H12" s="19" t="n">
        <x:f>E12-G12</x:f>
        <x:v>0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1" t="str">
        <x:v>3373</x:v>
      </x:c>
      <x:c r="B13" s="16" t="n">
        <x:v>44378</x:v>
      </x:c>
      <x:c r="C13" s="1" t="str">
        <x:v>Время</x:v>
      </x:c>
      <x:c r="D13" s="18" t="n">
        <x:v>2</x:v>
      </x:c>
      <x:c r="E13" s="19" t="n">
        <x:v>0</x:v>
      </x:c>
      <x:c r="F13" s="19" t="n">
        <x:v>0</x:v>
      </x:c>
      <x:c r="G13" s="19" t="n">
        <x:v>0</x:v>
      </x:c>
      <x:c r="H13" s="19" t="n">
        <x:f>E13-G13</x:f>
        <x:v>0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" t="str">
        <x:v>3373</x:v>
      </x:c>
      <x:c r="B14" s="16" t="n">
        <x:v>44409</x:v>
      </x:c>
      <x:c r="C14" s="1" t="str">
        <x:v>Время</x:v>
      </x:c>
      <x:c r="D14" s="18" t="n">
        <x:v>0</x:v>
      </x:c>
      <x:c r="E14" s="19" t="n">
        <x:v>0</x:v>
      </x:c>
      <x:c r="F14" s="19" t="n">
        <x:v>0</x:v>
      </x:c>
      <x:c r="G14" s="19" t="n">
        <x:v>0</x:v>
      </x:c>
      <x:c r="H14" s="19" t="n">
        <x:f>E14-G14</x:f>
        <x:v>0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 t="str">
        <x:v>3373</x:v>
      </x:c>
      <x:c r="B15" s="16" t="n">
        <x:v>44440</x:v>
      </x:c>
      <x:c r="C15" s="1" t="str">
        <x:v>Время</x:v>
      </x:c>
      <x:c r="D15" s="18" t="n">
        <x:v>0</x:v>
      </x:c>
      <x:c r="E15" s="19" t="n">
        <x:v>0</x:v>
      </x:c>
      <x:c r="F15" s="19" t="n">
        <x:v>0</x:v>
      </x:c>
      <x:c r="G15" s="19" t="n">
        <x:v>0</x:v>
      </x:c>
      <x:c r="H15" s="19" t="n">
        <x:f>E15-G15</x:f>
        <x:v>0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" t="str">
        <x:v>3373</x:v>
      </x:c>
      <x:c r="B16" s="16" t="n">
        <x:v>44470</x:v>
      </x:c>
      <x:c r="C16" s="1" t="str">
        <x:v>Время</x:v>
      </x:c>
      <x:c r="D16" s="18" t="n">
        <x:v>4</x:v>
      </x:c>
      <x:c r="E16" s="19" t="n">
        <x:v>225.3</x:v>
      </x:c>
      <x:c r="F16" s="19" t="n">
        <x:v>57195070</x:v>
      </x:c>
      <x:c r="G16" s="19" t="n">
        <x:v>0</x:v>
      </x:c>
      <x:c r="H16" s="19" t="n">
        <x:f>E16-G16</x:f>
        <x:v>225.3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 t="str">
        <x:v>3373</x:v>
      </x:c>
      <x:c r="B17" s="16" t="n">
        <x:v>44501</x:v>
      </x:c>
      <x:c r="C17" s="1" t="str">
        <x:v>Время</x:v>
      </x:c>
      <x:c r="D17" s="18" t="n">
        <x:v>10</x:v>
      </x:c>
      <x:c r="E17" s="19" t="n">
        <x:v>487.26</x:v>
      </x:c>
      <x:c r="F17" s="19" t="n">
        <x:v>123880696.16</x:v>
      </x:c>
      <x:c r="G17" s="19" t="n">
        <x:v>46.25</x:v>
      </x:c>
      <x:c r="H17" s="19" t="n">
        <x:f>E17-G17</x:f>
        <x:v>441.01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 t="str">
        <x:v>3373</x:v>
      </x:c>
      <x:c r="B18" s="16" t="n">
        <x:v>44531</x:v>
      </x:c>
      <x:c r="C18" s="1" t="str">
        <x:v>Время</x:v>
      </x:c>
      <x:c r="D18" s="18" t="n">
        <x:v>3</x:v>
      </x:c>
      <x:c r="E18" s="19" t="n">
        <x:v>130.98</x:v>
      </x:c>
      <x:c r="F18" s="19" t="n">
        <x:v>41210240</x:v>
      </x:c>
      <x:c r="G18" s="19" t="n">
        <x:v>0</x:v>
      </x:c>
      <x:c r="H18" s="19" t="n">
        <x:f>E18-G18</x:f>
        <x:v>130.98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 t="str">
        <x:v>3373</x:v>
      </x:c>
      <x:c r="B19" s="16" t="n">
        <x:v>44562</x:v>
      </x:c>
      <x:c r="C19" s="1" t="str">
        <x:v>Время</x:v>
      </x:c>
      <x:c r="D19" s="18" t="n">
        <x:v>0</x:v>
      </x:c>
      <x:c r="E19" s="19" t="n">
        <x:v>0</x:v>
      </x:c>
      <x:c r="F19" s="19" t="n">
        <x:v>0</x:v>
      </x:c>
      <x:c r="G19" s="19" t="n">
        <x:v>0</x:v>
      </x:c>
      <x:c r="H19" s="19" t="n">
        <x:f>E19-G19</x:f>
        <x:v>0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 t="str">
        <x:v>3373</x:v>
      </x:c>
      <x:c r="B20" s="16" t="n">
        <x:v>44593</x:v>
      </x:c>
      <x:c r="C20" s="1" t="str">
        <x:v>Время</x:v>
      </x:c>
      <x:c r="D20" s="18" t="n">
        <x:v>19</x:v>
      </x:c>
      <x:c r="E20" s="19" t="n">
        <x:v>1429.32</x:v>
      </x:c>
      <x:c r="F20" s="19" t="n">
        <x:v>412098466.16</x:v>
      </x:c>
      <x:c r="G20" s="19" t="n">
        <x:v>101.16</x:v>
      </x:c>
      <x:c r="H20" s="19" t="n">
        <x:f>E20-G20</x:f>
        <x:v>1328.1599999999999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 t="str">
        <x:v>3373</x:v>
      </x:c>
      <x:c r="B21" s="16" t="n">
        <x:v>44621</x:v>
      </x:c>
      <x:c r="C21" s="1" t="str">
        <x:v>Время</x:v>
      </x:c>
      <x:c r="D21" s="18" t="n">
        <x:v>160</x:v>
      </x:c>
      <x:c r="E21" s="19" t="n">
        <x:v>2873.44</x:v>
      </x:c>
      <x:c r="F21" s="19" t="n">
        <x:v>1048626189.45</x:v>
      </x:c>
      <x:c r="G21" s="19" t="n">
        <x:v>0</x:v>
      </x:c>
      <x:c r="H21" s="19" t="n">
        <x:f>E21-G21</x:f>
        <x:v>2873.44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 t="str">
        <x:v>3373</x:v>
      </x:c>
      <x:c r="B22" s="16" t="n">
        <x:v>44652</x:v>
      </x:c>
      <x:c r="C22" s="1" t="str">
        <x:v>Время</x:v>
      </x:c>
      <x:c r="D22" s="18" t="n">
        <x:v>1</x:v>
      </x:c>
      <x:c r="E22" s="19" t="n">
        <x:v>61.6</x:v>
      </x:c>
      <x:c r="F22" s="19" t="n">
        <x:v>19000000</x:v>
      </x:c>
      <x:c r="G22" s="19" t="n">
        <x:v>0</x:v>
      </x:c>
      <x:c r="H22" s="19" t="n">
        <x:f>E22-G22</x:f>
        <x:v>61.6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 t="str">
        <x:v>3373</x:v>
      </x:c>
      <x:c r="B23" s="16" t="n">
        <x:v>44682</x:v>
      </x:c>
      <x:c r="C23" s="1" t="str">
        <x:v>Время</x:v>
      </x:c>
      <x:c r="D23" s="18" t="n">
        <x:v>0</x:v>
      </x:c>
      <x:c r="E23" s="19" t="n">
        <x:v>0</x:v>
      </x:c>
      <x:c r="F23" s="19" t="n">
        <x:v>0</x:v>
      </x:c>
      <x:c r="G23" s="19" t="n">
        <x:v>0</x:v>
      </x:c>
      <x:c r="H23" s="19" t="n">
        <x:f>E23-G23</x:f>
        <x:v>0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 t="str">
        <x:v>3373</x:v>
      </x:c>
      <x:c r="B24" s="16" t="n">
        <x:v>44713</x:v>
      </x:c>
      <x:c r="C24" s="1" t="str">
        <x:v>Время</x:v>
      </x:c>
      <x:c r="D24" s="18" t="n">
        <x:v>0</x:v>
      </x:c>
      <x:c r="E24" s="19" t="n">
        <x:v>0</x:v>
      </x:c>
      <x:c r="F24" s="19" t="n">
        <x:v>0</x:v>
      </x:c>
      <x:c r="G24" s="19" t="n">
        <x:v>0</x:v>
      </x:c>
      <x:c r="H24" s="19" t="n">
        <x:f>E24-G24</x:f>
        <x:v>0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 t="str">
        <x:v>3373</x:v>
      </x:c>
      <x:c r="B25" s="16" t="n">
        <x:v>44743</x:v>
      </x:c>
      <x:c r="C25" s="1" t="str">
        <x:v>Время</x:v>
      </x:c>
      <x:c r="D25" s="18" t="n">
        <x:v>0</x:v>
      </x:c>
      <x:c r="E25" s="19" t="n">
        <x:v>0</x:v>
      </x:c>
      <x:c r="F25" s="19" t="n">
        <x:v>0</x:v>
      </x:c>
      <x:c r="G25" s="19" t="n">
        <x:v>0</x:v>
      </x:c>
      <x:c r="H25" s="19" t="n">
        <x:f>E25-G25</x:f>
        <x:v>0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 t="str">
        <x:v>3373</x:v>
      </x:c>
      <x:c r="B26" s="16" t="n">
        <x:v>44774</x:v>
      </x:c>
      <x:c r="C26" s="1" t="str">
        <x:v>Время</x:v>
      </x:c>
      <x:c r="D26" s="18" t="n">
        <x:v>0</x:v>
      </x:c>
      <x:c r="E26" s="19" t="n">
        <x:v>0</x:v>
      </x:c>
      <x:c r="F26" s="19" t="n">
        <x:v>0</x:v>
      </x:c>
      <x:c r="G26" s="19" t="n">
        <x:v>0</x:v>
      </x:c>
      <x:c r="H26" s="19" t="n">
        <x:f>E26-G26</x:f>
        <x:v>0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 t="str">
        <x:v>3373</x:v>
      </x:c>
      <x:c r="B27" s="16" t="n">
        <x:v>44805</x:v>
      </x:c>
      <x:c r="C27" s="1" t="str">
        <x:v>Время</x:v>
      </x:c>
      <x:c r="D27" s="18" t="n">
        <x:v>0</x:v>
      </x:c>
      <x:c r="E27" s="19" t="n">
        <x:v>0</x:v>
      </x:c>
      <x:c r="F27" s="19" t="n">
        <x:v>0</x:v>
      </x:c>
      <x:c r="G27" s="19" t="n">
        <x:v>0</x:v>
      </x:c>
      <x:c r="H27" s="19" t="n">
        <x:f>E27-G27</x:f>
        <x:v>0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 t="str">
        <x:v>3373</x:v>
      </x:c>
      <x:c r="B28" s="16" t="n">
        <x:v>44835</x:v>
      </x:c>
      <x:c r="C28" s="1" t="str">
        <x:v>Время</x:v>
      </x:c>
      <x:c r="D28" s="18" t="n">
        <x:v>0</x:v>
      </x:c>
      <x:c r="E28" s="19" t="n">
        <x:v>0</x:v>
      </x:c>
      <x:c r="F28" s="19" t="n">
        <x:v>0</x:v>
      </x:c>
      <x:c r="G28" s="19" t="n">
        <x:v>0</x:v>
      </x:c>
      <x:c r="H28" s="19" t="n">
        <x:f>E28-G28</x:f>
        <x:v>0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 t="str">
        <x:v>3373</x:v>
      </x:c>
      <x:c r="B29" s="16" t="n">
        <x:v>44866</x:v>
      </x:c>
      <x:c r="C29" s="1" t="str">
        <x:v>Время</x:v>
      </x:c>
      <x:c r="D29" s="18" t="n">
        <x:v>0</x:v>
      </x:c>
      <x:c r="E29" s="19" t="n">
        <x:v>0</x:v>
      </x:c>
      <x:c r="F29" s="19" t="n">
        <x:v>0</x:v>
      </x:c>
      <x:c r="G29" s="19" t="n">
        <x:v>0</x:v>
      </x:c>
      <x:c r="H29" s="19" t="n">
        <x:f>E29-G29</x:f>
        <x:v>0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 t="str">
        <x:v>3373</x:v>
      </x:c>
      <x:c r="B30" s="16" t="n">
        <x:v>44896</x:v>
      </x:c>
      <x:c r="C30" s="1" t="str">
        <x:v>Время</x:v>
      </x:c>
      <x:c r="D30" s="18" t="n">
        <x:v>0</x:v>
      </x:c>
      <x:c r="E30" s="19" t="n">
        <x:v>0</x:v>
      </x:c>
      <x:c r="F30" s="19" t="n">
        <x:v>0</x:v>
      </x:c>
      <x:c r="G30" s="19" t="n">
        <x:v>0</x:v>
      </x:c>
      <x:c r="H30" s="19" t="n">
        <x:f>E30-G30</x:f>
        <x:v>0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 t="str">
        <x:v>3373</x:v>
      </x:c>
      <x:c r="B31" s="16" t="n">
        <x:v>44927</x:v>
      </x:c>
      <x:c r="C31" s="1" t="str">
        <x:v>Время</x:v>
      </x:c>
      <x:c r="D31" s="18" t="n">
        <x:v>1</x:v>
      </x:c>
      <x:c r="E31" s="19" t="n">
        <x:v>86.6</x:v>
      </x:c>
      <x:c r="F31" s="19" t="n">
        <x:v>30310000</x:v>
      </x:c>
      <x:c r="G31" s="19" t="n">
        <x:v>0</x:v>
      </x:c>
      <x:c r="H31" s="19" t="n">
        <x:f>E31-G31</x:f>
        <x:v>86.6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 t="str">
        <x:v>3373</x:v>
      </x:c>
      <x:c r="B32" s="16" t="n">
        <x:v>44958</x:v>
      </x:c>
      <x:c r="C32" s="1" t="str">
        <x:v>Время</x:v>
      </x:c>
      <x:c r="D32" s="18" t="n">
        <x:v>4</x:v>
      </x:c>
      <x:c r="E32" s="19" t="n">
        <x:v>295.68</x:v>
      </x:c>
      <x:c r="F32" s="19" t="n">
        <x:v>80153600</x:v>
      </x:c>
      <x:c r="G32" s="19" t="n">
        <x:v>0</x:v>
      </x:c>
      <x:c r="H32" s="19" t="n">
        <x:f>E32-G32</x:f>
        <x:v>295.68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 t="str">
        <x:v>3373</x:v>
      </x:c>
      <x:c r="B33" s="16" t="n">
        <x:v>44986</x:v>
      </x:c>
      <x:c r="C33" s="1" t="str">
        <x:v>Время</x:v>
      </x:c>
      <x:c r="D33" s="18" t="n">
        <x:v>10</x:v>
      </x:c>
      <x:c r="E33" s="19" t="n">
        <x:v>779.77</x:v>
      </x:c>
      <x:c r="F33" s="19" t="n">
        <x:v>272950044.24</x:v>
      </x:c>
      <x:c r="G33" s="19" t="n">
        <x:v>0</x:v>
      </x:c>
      <x:c r="H33" s="19" t="n">
        <x:f>E33-G33</x:f>
        <x:v>779.77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 t="str">
        <x:v>3373</x:v>
      </x:c>
      <x:c r="B34" s="16" t="n">
        <x:v>45017</x:v>
      </x:c>
      <x:c r="C34" s="1" t="str">
        <x:v>Время</x:v>
      </x:c>
      <x:c r="D34" s="18" t="n">
        <x:v>1</x:v>
      </x:c>
      <x:c r="E34" s="19" t="n">
        <x:v>84.53</x:v>
      </x:c>
      <x:c r="F34" s="19" t="n">
        <x:v>19884601</x:v>
      </x:c>
      <x:c r="G34" s="19" t="n">
        <x:v>0</x:v>
      </x:c>
      <x:c r="H34" s="19" t="n">
        <x:f>E34-G34</x:f>
        <x:v>84.53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 t="str">
        <x:v>3373</x:v>
      </x:c>
      <x:c r="B35" s="16" t="n">
        <x:v>45047</x:v>
      </x:c>
      <x:c r="C35" s="1" t="str">
        <x:v>Время</x:v>
      </x:c>
      <x:c r="D35" s="18" t="n">
        <x:v>2</x:v>
      </x:c>
      <x:c r="E35" s="19" t="n">
        <x:v>138.78</x:v>
      </x:c>
      <x:c r="F35" s="19" t="n">
        <x:v>43798612</x:v>
      </x:c>
      <x:c r="G35" s="19" t="n">
        <x:v>0</x:v>
      </x:c>
      <x:c r="H35" s="19" t="n">
        <x:f>E35-G35</x:f>
        <x:v>138.78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 t="str">
        <x:v>3373</x:v>
      </x:c>
      <x:c r="B36" s="16" t="n">
        <x:v>45078</x:v>
      </x:c>
      <x:c r="C36" s="1" t="str">
        <x:v>Время</x:v>
      </x:c>
      <x:c r="D36" s="18" t="n">
        <x:v>0</x:v>
      </x:c>
      <x:c r="E36" s="19" t="n">
        <x:v>0</x:v>
      </x:c>
      <x:c r="F36" s="19" t="n">
        <x:v>0</x:v>
      </x:c>
      <x:c r="G36" s="19" t="n">
        <x:v>0</x:v>
      </x:c>
      <x:c r="H36" s="19" t="n">
        <x:f>E36-G36</x:f>
        <x:v>0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 t="str">
        <x:v>3373</x:v>
      </x:c>
      <x:c r="B37" s="16" t="n">
        <x:v>45108</x:v>
      </x:c>
      <x:c r="C37" s="1" t="str">
        <x:v>Время</x:v>
      </x:c>
      <x:c r="D37" s="18" t="n">
        <x:v>0</x:v>
      </x:c>
      <x:c r="E37" s="19" t="n">
        <x:v>0</x:v>
      </x:c>
      <x:c r="F37" s="19" t="n">
        <x:v>0</x:v>
      </x:c>
      <x:c r="G37" s="19" t="n">
        <x:v>0</x:v>
      </x:c>
      <x:c r="H37" s="19" t="n">
        <x:f>E37-G37</x:f>
        <x:v>0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 t="str">
        <x:v>3373</x:v>
      </x:c>
      <x:c r="B38" s="16" t="n">
        <x:v>45139</x:v>
      </x:c>
      <x:c r="C38" s="1" t="str">
        <x:v>Время</x:v>
      </x:c>
      <x:c r="D38" s="18" t="n">
        <x:v>1</x:v>
      </x:c>
      <x:c r="E38" s="19" t="n">
        <x:v>84.17</x:v>
      </x:c>
      <x:c r="F38" s="19" t="n">
        <x:v>25335170</x:v>
      </x:c>
      <x:c r="G38" s="19" t="n">
        <x:v>0</x:v>
      </x:c>
      <x:c r="H38" s="19" t="n">
        <x:f>E38-G38</x:f>
        <x:v>84.17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 t="str">
        <x:v>3373</x:v>
      </x:c>
      <x:c r="B39" s="16" t="n">
        <x:v>45170</x:v>
      </x:c>
      <x:c r="C39" s="1" t="str">
        <x:v>Время</x:v>
      </x:c>
      <x:c r="D39" s="18" t="n">
        <x:v>0</x:v>
      </x:c>
      <x:c r="E39" s="19" t="n">
        <x:v>0</x:v>
      </x:c>
      <x:c r="F39" s="19" t="n">
        <x:v>0</x:v>
      </x:c>
      <x:c r="G39" s="19" t="n">
        <x:v>0</x:v>
      </x:c>
      <x:c r="H39" s="19" t="n">
        <x:f>E39-G39</x:f>
        <x:v>0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 t="str">
        <x:v>3373</x:v>
      </x:c>
      <x:c r="B40" s="16" t="n">
        <x:v>45200</x:v>
      </x:c>
      <x:c r="C40" s="1" t="str">
        <x:v>Время</x:v>
      </x:c>
      <x:c r="D40" s="18" t="n">
        <x:v>0</x:v>
      </x:c>
      <x:c r="E40" s="19" t="n">
        <x:v>0</x:v>
      </x:c>
      <x:c r="F40" s="19" t="n">
        <x:v>0</x:v>
      </x:c>
      <x:c r="G40" s="19" t="n">
        <x:v>0</x:v>
      </x:c>
      <x:c r="H40" s="19" t="n">
        <x:f>E40-G40</x:f>
        <x:v>0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 t="str">
        <x:v>3373</x:v>
      </x:c>
      <x:c r="B41" s="16" t="n">
        <x:v>45231</x:v>
      </x:c>
      <x:c r="C41" s="1" t="str">
        <x:v>Время</x:v>
      </x:c>
      <x:c r="D41" s="18" t="n">
        <x:v>0</x:v>
      </x:c>
      <x:c r="E41" s="19" t="n">
        <x:v>0</x:v>
      </x:c>
      <x:c r="F41" s="19" t="n">
        <x:v>0</x:v>
      </x:c>
      <x:c r="G41" s="19" t="n">
        <x:v>0</x:v>
      </x:c>
      <x:c r="H41" s="19" t="n">
        <x:f>E41-G41</x:f>
        <x:v>0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 t="str">
        <x:v>3373</x:v>
      </x:c>
      <x:c r="B42" s="16" t="n">
        <x:v>45261</x:v>
      </x:c>
      <x:c r="C42" s="1" t="str">
        <x:v>Время</x:v>
      </x:c>
      <x:c r="D42" s="18" t="n">
        <x:v>0</x:v>
      </x:c>
      <x:c r="E42" s="19" t="n">
        <x:v>0</x:v>
      </x:c>
      <x:c r="F42" s="19" t="n">
        <x:v>0</x:v>
      </x:c>
      <x:c r="G42" s="19" t="n">
        <x:v>0</x:v>
      </x:c>
      <x:c r="H42" s="19" t="n">
        <x:f>E42-G42</x:f>
        <x:v>0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 t="str">
        <x:v>30548</x:v>
      </x:c>
      <x:c r="B43" s="16" t="n">
        <x:v>44197</x:v>
      </x:c>
      <x:c r="C43" s="1" t="str">
        <x:v>Фестиваль Парк-2</x:v>
      </x:c>
      <x:c r="D43" s="18" t="n">
        <x:v>0</x:v>
      </x:c>
      <x:c r="E43" s="19" t="n">
        <x:v>0</x:v>
      </x:c>
      <x:c r="F43" s="19" t="n">
        <x:v>0</x:v>
      </x:c>
      <x:c r="G43" s="19" t="n">
        <x:v>0</x:v>
      </x:c>
      <x:c r="H43" s="19" t="n">
        <x:f>E43-G43</x:f>
        <x:v>0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 t="str">
        <x:v>30548</x:v>
      </x:c>
      <x:c r="B44" s="16" t="n">
        <x:v>44228</x:v>
      </x:c>
      <x:c r="C44" s="1" t="str">
        <x:v>Фестиваль Парк-2</x:v>
      </x:c>
      <x:c r="D44" s="18" t="n">
        <x:v>0</x:v>
      </x:c>
      <x:c r="E44" s="19" t="n">
        <x:v>0</x:v>
      </x:c>
      <x:c r="F44" s="19" t="n">
        <x:v>0</x:v>
      </x:c>
      <x:c r="G44" s="19" t="n">
        <x:v>0</x:v>
      </x:c>
      <x:c r="H44" s="19" t="n">
        <x:f>E44-G44</x:f>
        <x:v>0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 t="str">
        <x:v>30548</x:v>
      </x:c>
      <x:c r="B45" s="16" t="n">
        <x:v>44256</x:v>
      </x:c>
      <x:c r="C45" s="1" t="str">
        <x:v>Фестиваль Парк-2</x:v>
      </x:c>
      <x:c r="D45" s="18" t="n">
        <x:v>0</x:v>
      </x:c>
      <x:c r="E45" s="19" t="n">
        <x:v>0</x:v>
      </x:c>
      <x:c r="F45" s="19" t="n">
        <x:v>0</x:v>
      </x:c>
      <x:c r="G45" s="19" t="n">
        <x:v>0</x:v>
      </x:c>
      <x:c r="H45" s="19" t="n">
        <x:f>E45-G45</x:f>
        <x:v>0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 t="str">
        <x:v>30548</x:v>
      </x:c>
      <x:c r="B46" s="16" t="n">
        <x:v>44287</x:v>
      </x:c>
      <x:c r="C46" s="1" t="str">
        <x:v>Фестиваль Парк-2</x:v>
      </x:c>
      <x:c r="D46" s="18" t="n">
        <x:v>0</x:v>
      </x:c>
      <x:c r="E46" s="19" t="n">
        <x:v>0</x:v>
      </x:c>
      <x:c r="F46" s="19" t="n">
        <x:v>0</x:v>
      </x:c>
      <x:c r="G46" s="19" t="n">
        <x:v>0</x:v>
      </x:c>
      <x:c r="H46" s="19" t="n">
        <x:f>E46-G46</x:f>
        <x:v>0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 t="str">
        <x:v>30548</x:v>
      </x:c>
      <x:c r="B47" s="16" t="n">
        <x:v>44317</x:v>
      </x:c>
      <x:c r="C47" s="1" t="str">
        <x:v>Фестиваль Парк-2</x:v>
      </x:c>
      <x:c r="D47" s="18" t="n">
        <x:v>0</x:v>
      </x:c>
      <x:c r="E47" s="19" t="n">
        <x:v>0</x:v>
      </x:c>
      <x:c r="F47" s="19" t="n">
        <x:v>0</x:v>
      </x:c>
      <x:c r="G47" s="19" t="n">
        <x:v>0</x:v>
      </x:c>
      <x:c r="H47" s="19" t="n">
        <x:f>E47-G47</x:f>
        <x:v>0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 t="str">
        <x:v>30548</x:v>
      </x:c>
      <x:c r="B48" s="16" t="n">
        <x:v>44348</x:v>
      </x:c>
      <x:c r="C48" s="1" t="str">
        <x:v>Фестиваль Парк-2</x:v>
      </x:c>
      <x:c r="D48" s="18" t="n">
        <x:v>0</x:v>
      </x:c>
      <x:c r="E48" s="19" t="n">
        <x:v>0</x:v>
      </x:c>
      <x:c r="F48" s="19" t="n">
        <x:v>0</x:v>
      </x:c>
      <x:c r="G48" s="19" t="n">
        <x:v>0</x:v>
      </x:c>
      <x:c r="H48" s="19" t="n">
        <x:f>E48-G48</x:f>
        <x:v>0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 t="str">
        <x:v>30548</x:v>
      </x:c>
      <x:c r="B49" s="16" t="n">
        <x:v>44378</x:v>
      </x:c>
      <x:c r="C49" s="1" t="str">
        <x:v>Фестиваль Парк-2</x:v>
      </x:c>
      <x:c r="D49" s="18" t="n">
        <x:v>0</x:v>
      </x:c>
      <x:c r="E49" s="19" t="n">
        <x:v>0</x:v>
      </x:c>
      <x:c r="F49" s="19" t="n">
        <x:v>0</x:v>
      </x:c>
      <x:c r="G49" s="19" t="n">
        <x:v>0</x:v>
      </x:c>
      <x:c r="H49" s="19" t="n">
        <x:f>E49-G49</x:f>
        <x:v>0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 t="str">
        <x:v>30548</x:v>
      </x:c>
      <x:c r="B50" s="16" t="n">
        <x:v>44409</x:v>
      </x:c>
      <x:c r="C50" s="1" t="str">
        <x:v>Фестиваль Парк-2</x:v>
      </x:c>
      <x:c r="D50" s="18" t="n">
        <x:v>0</x:v>
      </x:c>
      <x:c r="E50" s="19" t="n">
        <x:v>0</x:v>
      </x:c>
      <x:c r="F50" s="19" t="n">
        <x:v>0</x:v>
      </x:c>
      <x:c r="G50" s="19" t="n">
        <x:v>0</x:v>
      </x:c>
      <x:c r="H50" s="19" t="n">
        <x:f>E50-G50</x:f>
        <x:v>0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 t="str">
        <x:v>30548</x:v>
      </x:c>
      <x:c r="B51" s="16" t="n">
        <x:v>44440</x:v>
      </x:c>
      <x:c r="C51" s="1" t="str">
        <x:v>Фестиваль Парк-2</x:v>
      </x:c>
      <x:c r="D51" s="18" t="n">
        <x:v>0</x:v>
      </x:c>
      <x:c r="E51" s="19" t="n">
        <x:v>0</x:v>
      </x:c>
      <x:c r="F51" s="19" t="n">
        <x:v>0</x:v>
      </x:c>
      <x:c r="G51" s="19" t="n">
        <x:v>0</x:v>
      </x:c>
      <x:c r="H51" s="19" t="n">
        <x:f>E51-G51</x:f>
        <x:v>0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 t="str">
        <x:v>30548</x:v>
      </x:c>
      <x:c r="B52" s="16" t="n">
        <x:v>44470</x:v>
      </x:c>
      <x:c r="C52" s="1" t="str">
        <x:v>Фестиваль Парк-2</x:v>
      </x:c>
      <x:c r="D52" s="18" t="n">
        <x:v>0</x:v>
      </x:c>
      <x:c r="E52" s="19" t="n">
        <x:v>0</x:v>
      </x:c>
      <x:c r="F52" s="19" t="n">
        <x:v>0</x:v>
      </x:c>
      <x:c r="G52" s="19" t="n">
        <x:v>0</x:v>
      </x:c>
      <x:c r="H52" s="19" t="n">
        <x:f>E52-G52</x:f>
        <x:v>0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 t="str">
        <x:v>30548</x:v>
      </x:c>
      <x:c r="B53" s="16" t="n">
        <x:v>44501</x:v>
      </x:c>
      <x:c r="C53" s="1" t="str">
        <x:v>Фестиваль Парк-2</x:v>
      </x:c>
      <x:c r="D53" s="18" t="n">
        <x:v>0</x:v>
      </x:c>
      <x:c r="E53" s="19" t="n">
        <x:v>0</x:v>
      </x:c>
      <x:c r="F53" s="19" t="n">
        <x:v>0</x:v>
      </x:c>
      <x:c r="G53" s="19" t="n">
        <x:v>0</x:v>
      </x:c>
      <x:c r="H53" s="19" t="n">
        <x:f>E53-G53</x:f>
        <x:v>0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 t="str">
        <x:v>30548</x:v>
      </x:c>
      <x:c r="B54" s="16" t="n">
        <x:v>44562</x:v>
      </x:c>
      <x:c r="C54" s="1" t="str">
        <x:v>Фестиваль Парк-2</x:v>
      </x:c>
      <x:c r="D54" s="18" t="n">
        <x:v>0</x:v>
      </x:c>
      <x:c r="E54" s="19" t="n">
        <x:v>0</x:v>
      </x:c>
      <x:c r="F54" s="19" t="n">
        <x:v>0</x:v>
      </x:c>
      <x:c r="G54" s="19" t="n">
        <x:v>0</x:v>
      </x:c>
      <x:c r="H54" s="19" t="n">
        <x:f>E54-G54</x:f>
        <x:v>0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 t="str">
        <x:v>30548</x:v>
      </x:c>
      <x:c r="B55" s="16" t="n">
        <x:v>44593</x:v>
      </x:c>
      <x:c r="C55" s="1" t="str">
        <x:v>Фестиваль Парк-2</x:v>
      </x:c>
      <x:c r="D55" s="18" t="n">
        <x:v>0</x:v>
      </x:c>
      <x:c r="E55" s="19" t="n">
        <x:v>0</x:v>
      </x:c>
      <x:c r="F55" s="19" t="n">
        <x:v>0</x:v>
      </x:c>
      <x:c r="G55" s="19" t="n">
        <x:v>0</x:v>
      </x:c>
      <x:c r="H55" s="19" t="n">
        <x:f>E55-G55</x:f>
        <x:v>0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 t="str">
        <x:v>30548</x:v>
      </x:c>
      <x:c r="B56" s="16" t="n">
        <x:v>44621</x:v>
      </x:c>
      <x:c r="C56" s="1" t="str">
        <x:v>Фестиваль Парк-2</x:v>
      </x:c>
      <x:c r="D56" s="18" t="n">
        <x:v>0</x:v>
      </x:c>
      <x:c r="E56" s="19" t="n">
        <x:v>0</x:v>
      </x:c>
      <x:c r="F56" s="19" t="n">
        <x:v>0</x:v>
      </x:c>
      <x:c r="G56" s="19" t="n">
        <x:v>0</x:v>
      </x:c>
      <x:c r="H56" s="19" t="n">
        <x:f>E56-G56</x:f>
        <x:v>0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 t="str">
        <x:v>30548</x:v>
      </x:c>
      <x:c r="B57" s="16" t="n">
        <x:v>44652</x:v>
      </x:c>
      <x:c r="C57" s="1" t="str">
        <x:v>Фестиваль Парк-2</x:v>
      </x:c>
      <x:c r="D57" s="18" t="n">
        <x:v>0</x:v>
      </x:c>
      <x:c r="E57" s="19" t="n">
        <x:v>0</x:v>
      </x:c>
      <x:c r="F57" s="19" t="n">
        <x:v>0</x:v>
      </x:c>
      <x:c r="G57" s="19" t="n">
        <x:v>0</x:v>
      </x:c>
      <x:c r="H57" s="19" t="n">
        <x:f>E57-G57</x:f>
        <x:v>0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 t="str">
        <x:v>30548</x:v>
      </x:c>
      <x:c r="B58" s="16" t="n">
        <x:v>44682</x:v>
      </x:c>
      <x:c r="C58" s="1" t="str">
        <x:v>Фестиваль Парк-2</x:v>
      </x:c>
      <x:c r="D58" s="18" t="n">
        <x:v>0</x:v>
      </x:c>
      <x:c r="E58" s="19" t="n">
        <x:v>0</x:v>
      </x:c>
      <x:c r="F58" s="19" t="n">
        <x:v>0</x:v>
      </x:c>
      <x:c r="G58" s="19" t="n">
        <x:v>0</x:v>
      </x:c>
      <x:c r="H58" s="19" t="n">
        <x:f>E58-G58</x:f>
        <x:v>0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 t="str">
        <x:v>30548</x:v>
      </x:c>
      <x:c r="B59" s="16" t="n">
        <x:v>44713</x:v>
      </x:c>
      <x:c r="C59" s="1" t="str">
        <x:v>Фестиваль Парк-2</x:v>
      </x:c>
      <x:c r="D59" s="18" t="n">
        <x:v>0</x:v>
      </x:c>
      <x:c r="E59" s="19" t="n">
        <x:v>0</x:v>
      </x:c>
      <x:c r="F59" s="19" t="n">
        <x:v>0</x:v>
      </x:c>
      <x:c r="G59" s="19" t="n">
        <x:v>0</x:v>
      </x:c>
      <x:c r="H59" s="19" t="n">
        <x:f>E59-G59</x:f>
        <x:v>0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 t="str">
        <x:v>30548</x:v>
      </x:c>
      <x:c r="B60" s="16" t="n">
        <x:v>44743</x:v>
      </x:c>
      <x:c r="C60" s="1" t="str">
        <x:v>Фестиваль Парк-2</x:v>
      </x:c>
      <x:c r="D60" s="18" t="n">
        <x:v>0</x:v>
      </x:c>
      <x:c r="E60" s="19" t="n">
        <x:v>0</x:v>
      </x:c>
      <x:c r="F60" s="19" t="n">
        <x:v>0</x:v>
      </x:c>
      <x:c r="G60" s="19" t="n">
        <x:v>0</x:v>
      </x:c>
      <x:c r="H60" s="19" t="n">
        <x:f>E60-G60</x:f>
        <x:v>0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 t="str">
        <x:v>30548</x:v>
      </x:c>
      <x:c r="B61" s="16" t="n">
        <x:v>44774</x:v>
      </x:c>
      <x:c r="C61" s="1" t="str">
        <x:v>Фестиваль Парк-2</x:v>
      </x:c>
      <x:c r="D61" s="18" t="n">
        <x:v>0</x:v>
      </x:c>
      <x:c r="E61" s="19" t="n">
        <x:v>0</x:v>
      </x:c>
      <x:c r="F61" s="19" t="n">
        <x:v>0</x:v>
      </x:c>
      <x:c r="G61" s="19" t="n">
        <x:v>0</x:v>
      </x:c>
      <x:c r="H61" s="19" t="n">
        <x:f>E61-G61</x:f>
        <x:v>0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 t="str">
        <x:v>30548</x:v>
      </x:c>
      <x:c r="B62" s="16" t="n">
        <x:v>44805</x:v>
      </x:c>
      <x:c r="C62" s="1" t="str">
        <x:v>Фестиваль Парк-2</x:v>
      </x:c>
      <x:c r="D62" s="18" t="n">
        <x:v>0</x:v>
      </x:c>
      <x:c r="E62" s="19" t="n">
        <x:v>0</x:v>
      </x:c>
      <x:c r="F62" s="19" t="n">
        <x:v>0</x:v>
      </x:c>
      <x:c r="G62" s="19" t="n">
        <x:v>0</x:v>
      </x:c>
      <x:c r="H62" s="19" t="n">
        <x:f>E62-G62</x:f>
        <x:v>0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 t="str">
        <x:v>30548</x:v>
      </x:c>
      <x:c r="B63" s="16" t="n">
        <x:v>44835</x:v>
      </x:c>
      <x:c r="C63" s="1" t="str">
        <x:v>Фестиваль Парк-2</x:v>
      </x:c>
      <x:c r="D63" s="18" t="n">
        <x:v>0</x:v>
      </x:c>
      <x:c r="E63" s="19" t="n">
        <x:v>0</x:v>
      </x:c>
      <x:c r="F63" s="19" t="n">
        <x:v>0</x:v>
      </x:c>
      <x:c r="G63" s="19" t="n">
        <x:v>0</x:v>
      </x:c>
      <x:c r="H63" s="19" t="n">
        <x:f>E63-G63</x:f>
        <x:v>0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 t="str">
        <x:v>30548</x:v>
      </x:c>
      <x:c r="B64" s="16" t="n">
        <x:v>44896</x:v>
      </x:c>
      <x:c r="C64" s="1" t="str">
        <x:v>Фестиваль Парк-2</x:v>
      </x:c>
      <x:c r="D64" s="18" t="n">
        <x:v>0</x:v>
      </x:c>
      <x:c r="E64" s="19" t="n">
        <x:v>0</x:v>
      </x:c>
      <x:c r="F64" s="19" t="n">
        <x:v>0</x:v>
      </x:c>
      <x:c r="G64" s="19" t="n">
        <x:v>0</x:v>
      </x:c>
      <x:c r="H64" s="19" t="n">
        <x:f>E64-G64</x:f>
        <x:v>0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 t="str">
        <x:v>30548</x:v>
      </x:c>
      <x:c r="B65" s="16" t="n">
        <x:v>44927</x:v>
      </x:c>
      <x:c r="C65" s="1" t="str">
        <x:v>Фестиваль Парк-2</x:v>
      </x:c>
      <x:c r="D65" s="18" t="n">
        <x:v>0</x:v>
      </x:c>
      <x:c r="E65" s="19" t="n">
        <x:v>0</x:v>
      </x:c>
      <x:c r="F65" s="19" t="n">
        <x:v>0</x:v>
      </x:c>
      <x:c r="G65" s="19" t="n">
        <x:v>0</x:v>
      </x:c>
      <x:c r="H65" s="19" t="n">
        <x:f>E65-G65</x:f>
        <x:v>0</x:v>
      </x:c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 t="str">
        <x:v>30548</x:v>
      </x:c>
      <x:c r="B66" s="16" t="n">
        <x:v>44958</x:v>
      </x:c>
      <x:c r="C66" s="1" t="str">
        <x:v>Фестиваль Парк-2</x:v>
      </x:c>
      <x:c r="D66" s="18" t="n">
        <x:v>0</x:v>
      </x:c>
      <x:c r="E66" s="19" t="n">
        <x:v>0</x:v>
      </x:c>
      <x:c r="F66" s="19" t="n">
        <x:v>0</x:v>
      </x:c>
      <x:c r="G66" s="19" t="n">
        <x:v>0</x:v>
      </x:c>
      <x:c r="H66" s="19" t="n">
        <x:f>E66-G66</x:f>
        <x:v>0</x:v>
      </x:c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 t="str">
        <x:v>30548</x:v>
      </x:c>
      <x:c r="B67" s="16" t="n">
        <x:v>44986</x:v>
      </x:c>
      <x:c r="C67" s="1" t="str">
        <x:v>Фестиваль Парк-2</x:v>
      </x:c>
      <x:c r="D67" s="18" t="n">
        <x:v>1</x:v>
      </x:c>
      <x:c r="E67" s="19" t="n">
        <x:v>47.8</x:v>
      </x:c>
      <x:c r="F67" s="19" t="n">
        <x:v>14818000</x:v>
      </x:c>
      <x:c r="G67" s="19" t="n">
        <x:v>0</x:v>
      </x:c>
      <x:c r="H67" s="19" t="n">
        <x:f>E67-G67</x:f>
        <x:v>47.8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 t="str">
        <x:v>30548</x:v>
      </x:c>
      <x:c r="B68" s="16" t="n">
        <x:v>45017</x:v>
      </x:c>
      <x:c r="C68" s="1" t="str">
        <x:v>Фестиваль Парк-2</x:v>
      </x:c>
      <x:c r="D68" s="18" t="n">
        <x:v>0</x:v>
      </x:c>
      <x:c r="E68" s="19" t="n">
        <x:v>0</x:v>
      </x:c>
      <x:c r="F68" s="19" t="n">
        <x:v>0</x:v>
      </x:c>
      <x:c r="G68" s="19" t="n">
        <x:v>0</x:v>
      </x:c>
      <x:c r="H68" s="19" t="n">
        <x:f>E68-G68</x:f>
        <x:v>0</x:v>
      </x:c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 t="str">
        <x:v>30548</x:v>
      </x:c>
      <x:c r="B69" s="16" t="n">
        <x:v>45047</x:v>
      </x:c>
      <x:c r="C69" s="1" t="str">
        <x:v>Фестиваль Парк-2</x:v>
      </x:c>
      <x:c r="D69" s="18" t="n">
        <x:v>0</x:v>
      </x:c>
      <x:c r="E69" s="19" t="n">
        <x:v>0</x:v>
      </x:c>
      <x:c r="F69" s="19" t="n">
        <x:v>0</x:v>
      </x:c>
      <x:c r="G69" s="19" t="n">
        <x:v>0</x:v>
      </x:c>
      <x:c r="H69" s="19" t="n">
        <x:f>E69-G69</x:f>
        <x:v>0</x:v>
      </x:c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 t="str">
        <x:v>30548</x:v>
      </x:c>
      <x:c r="B70" s="16" t="n">
        <x:v>45078</x:v>
      </x:c>
      <x:c r="C70" s="1" t="str">
        <x:v>Фестиваль Парк-2</x:v>
      </x:c>
      <x:c r="D70" s="18" t="n">
        <x:v>0</x:v>
      </x:c>
      <x:c r="E70" s="19" t="n">
        <x:v>0</x:v>
      </x:c>
      <x:c r="F70" s="19" t="n">
        <x:v>0</x:v>
      </x:c>
      <x:c r="G70" s="19" t="n">
        <x:v>0</x:v>
      </x:c>
      <x:c r="H70" s="19" t="n">
        <x:f>E70-G70</x:f>
        <x:v>0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 t="str">
        <x:v>30548</x:v>
      </x:c>
      <x:c r="B71" s="16" t="n">
        <x:v>45108</x:v>
      </x:c>
      <x:c r="C71" s="1" t="str">
        <x:v>Фестиваль Парк-2</x:v>
      </x:c>
      <x:c r="D71" s="18" t="n">
        <x:v>0</x:v>
      </x:c>
      <x:c r="E71" s="19" t="n">
        <x:v>0</x:v>
      </x:c>
      <x:c r="F71" s="19" t="n">
        <x:v>0</x:v>
      </x:c>
      <x:c r="G71" s="19" t="n">
        <x:v>0</x:v>
      </x:c>
      <x:c r="H71" s="19" t="n">
        <x:f>E71-G71</x:f>
        <x:v>0</x:v>
      </x:c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 t="str">
        <x:v>30548</x:v>
      </x:c>
      <x:c r="B72" s="16" t="n">
        <x:v>45139</x:v>
      </x:c>
      <x:c r="C72" s="1" t="str">
        <x:v>Фестиваль Парк-2</x:v>
      </x:c>
      <x:c r="D72" s="18" t="n">
        <x:v>0</x:v>
      </x:c>
      <x:c r="E72" s="19" t="n">
        <x:v>0</x:v>
      </x:c>
      <x:c r="F72" s="19" t="n">
        <x:v>0</x:v>
      </x:c>
      <x:c r="G72" s="19" t="n">
        <x:v>0</x:v>
      </x:c>
      <x:c r="H72" s="19" t="n">
        <x:f>E72-G72</x:f>
        <x:v>0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 t="str">
        <x:v>30548</x:v>
      </x:c>
      <x:c r="B73" s="16" t="n">
        <x:v>45170</x:v>
      </x:c>
      <x:c r="C73" s="1" t="str">
        <x:v>Фестиваль Парк-2</x:v>
      </x:c>
      <x:c r="D73" s="18" t="n">
        <x:v>0</x:v>
      </x:c>
      <x:c r="E73" s="19" t="n">
        <x:v>0</x:v>
      </x:c>
      <x:c r="F73" s="19" t="n">
        <x:v>0</x:v>
      </x:c>
      <x:c r="G73" s="19" t="n">
        <x:v>0</x:v>
      </x:c>
      <x:c r="H73" s="19" t="n">
        <x:f>E73-G73</x:f>
        <x:v>0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 t="str">
        <x:v>30548</x:v>
      </x:c>
      <x:c r="B74" s="16" t="n">
        <x:v>45200</x:v>
      </x:c>
      <x:c r="C74" s="1" t="str">
        <x:v>Фестиваль Парк-2</x:v>
      </x:c>
      <x:c r="D74" s="18" t="n">
        <x:v>0</x:v>
      </x:c>
      <x:c r="E74" s="19" t="n">
        <x:v>0</x:v>
      </x:c>
      <x:c r="F74" s="19" t="n">
        <x:v>0</x:v>
      </x:c>
      <x:c r="G74" s="19" t="n">
        <x:v>0</x:v>
      </x:c>
      <x:c r="H74" s="19" t="n">
        <x:f>E74-G74</x:f>
        <x:v>0</x:v>
      </x:c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 t="str">
        <x:v>30548</x:v>
      </x:c>
      <x:c r="B75" s="16" t="n">
        <x:v>45231</x:v>
      </x:c>
      <x:c r="C75" s="1" t="str">
        <x:v>Фестиваль Парк-2</x:v>
      </x:c>
      <x:c r="D75" s="18" t="n">
        <x:v>0</x:v>
      </x:c>
      <x:c r="E75" s="19" t="n">
        <x:v>0</x:v>
      </x:c>
      <x:c r="F75" s="19" t="n">
        <x:v>0</x:v>
      </x:c>
      <x:c r="G75" s="19" t="n">
        <x:v>0</x:v>
      </x:c>
      <x:c r="H75" s="19" t="n">
        <x:f>E75-G75</x:f>
        <x:v>0</x:v>
      </x:c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>
      <x:c r="A76" s="1" t="str">
        <x:v>30548</x:v>
      </x:c>
      <x:c r="B76" s="16" t="n">
        <x:v>45292</x:v>
      </x:c>
      <x:c r="C76" s="1" t="str">
        <x:v>Фестиваль Парк-2</x:v>
      </x:c>
      <x:c r="D76" s="18" t="n">
        <x:v>0</x:v>
      </x:c>
      <x:c r="E76" s="19" t="n">
        <x:v>0</x:v>
      </x:c>
      <x:c r="F76" s="19" t="n">
        <x:v>0</x:v>
      </x:c>
      <x:c r="G76" s="19" t="n">
        <x:v>0</x:v>
      </x:c>
      <x:c r="H76" s="19" t="n">
        <x:f>E76-G76</x:f>
        <x:v>0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>
      <x:c r="A77" s="1" t="str">
        <x:v>30548</x:v>
      </x:c>
      <x:c r="B77" s="16" t="n">
        <x:v>45323</x:v>
      </x:c>
      <x:c r="C77" s="1" t="str">
        <x:v>Фестиваль Парк-2</x:v>
      </x:c>
      <x:c r="D77" s="18" t="n">
        <x:v>0</x:v>
      </x:c>
      <x:c r="E77" s="19" t="n">
        <x:v>0</x:v>
      </x:c>
      <x:c r="F77" s="19" t="n">
        <x:v>0</x:v>
      </x:c>
      <x:c r="G77" s="19" t="n">
        <x:v>0</x:v>
      </x:c>
      <x:c r="H77" s="19" t="n">
        <x:f>E77-G77</x:f>
        <x:v>0</x:v>
      </x:c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>
      <x:c r="A78" s="1" t="str">
        <x:v>30548</x:v>
      </x:c>
      <x:c r="B78" s="16" t="n">
        <x:v>45383</x:v>
      </x:c>
      <x:c r="C78" s="1" t="str">
        <x:v>Фестиваль Парк-2</x:v>
      </x:c>
      <x:c r="D78" s="18" t="n">
        <x:v>28</x:v>
      </x:c>
      <x:c r="E78" s="19" t="n">
        <x:v>2024.2</x:v>
      </x:c>
      <x:c r="F78" s="19" t="n">
        <x:v>713384792.06</x:v>
      </x:c>
      <x:c r="G78" s="19" t="n">
        <x:v>0</x:v>
      </x:c>
      <x:c r="H78" s="19" t="n">
        <x:f>E78-G78</x:f>
        <x:v>2024.2</x:v>
      </x:c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>
      <x:c r="A79" s="1" t="str">
        <x:v>30548</x:v>
      </x:c>
      <x:c r="B79" s="16" t="n">
        <x:v>45413</x:v>
      </x:c>
      <x:c r="C79" s="1" t="str">
        <x:v>Фестиваль Парк-2</x:v>
      </x:c>
      <x:c r="D79" s="18" t="n">
        <x:v>21</x:v>
      </x:c>
      <x:c r="E79" s="19" t="n">
        <x:v>1334.1</x:v>
      </x:c>
      <x:c r="F79" s="19" t="n">
        <x:v>489989685.53</x:v>
      </x:c>
      <x:c r="G79" s="19" t="n">
        <x:v>0</x:v>
      </x:c>
      <x:c r="H79" s="19" t="n">
        <x:f>E79-G79</x:f>
        <x:v>1334.1</x:v>
      </x:c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>
      <x:c r="A80" s="1" t="str">
        <x:v>30548</x:v>
      </x:c>
      <x:c r="B80" s="16" t="n">
        <x:v>45444</x:v>
      </x:c>
      <x:c r="C80" s="1" t="str">
        <x:v>Фестиваль Парк-2</x:v>
      </x:c>
      <x:c r="D80" s="18" t="n">
        <x:v>26</x:v>
      </x:c>
      <x:c r="E80" s="19" t="n">
        <x:v>1582.4</x:v>
      </x:c>
      <x:c r="F80" s="19" t="n">
        <x:v>609182863.96</x:v>
      </x:c>
      <x:c r="G80" s="19" t="n">
        <x:v>0</x:v>
      </x:c>
      <x:c r="H80" s="19" t="n">
        <x:f>E80-G80</x:f>
        <x:v>1582.4</x:v>
      </x:c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>
      <x:c r="A81" s="1" t="str">
        <x:v>30548</x:v>
      </x:c>
      <x:c r="B81" s="16" t="n">
        <x:v>45474</x:v>
      </x:c>
      <x:c r="C81" s="1" t="str">
        <x:v>Фестиваль Парк-2</x:v>
      </x:c>
      <x:c r="D81" s="18" t="n">
        <x:v>16</x:v>
      </x:c>
      <x:c r="E81" s="19" t="n">
        <x:v>1180.4</x:v>
      </x:c>
      <x:c r="F81" s="19" t="n">
        <x:v>440206354.63</x:v>
      </x:c>
      <x:c r="G81" s="19" t="n">
        <x:v>0</x:v>
      </x:c>
      <x:c r="H81" s="19" t="n">
        <x:f>E81-G81</x:f>
        <x:v>1180.4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>
      <x:c r="A82" s="1" t="str">
        <x:v>30548</x:v>
      </x:c>
      <x:c r="B82" s="16" t="n">
        <x:v>45505</x:v>
      </x:c>
      <x:c r="C82" s="1" t="str">
        <x:v>Фестиваль Парк-2</x:v>
      </x:c>
      <x:c r="D82" s="18" t="n">
        <x:v>7</x:v>
      </x:c>
      <x:c r="E82" s="19" t="n">
        <x:v>511.7</x:v>
      </x:c>
      <x:c r="F82" s="19" t="n">
        <x:v>193470413.87</x:v>
      </x:c>
      <x:c r="G82" s="19" t="n">
        <x:v>47.8</x:v>
      </x:c>
      <x:c r="H82" s="19" t="n">
        <x:f>E82-G82</x:f>
        <x:v>463.9</x:v>
      </x:c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>
      <x:c r="A83" s="1" t="str">
        <x:v>30548</x:v>
      </x:c>
      <x:c r="B83" s="16" t="n">
        <x:v>45536</x:v>
      </x:c>
      <x:c r="C83" s="1" t="str">
        <x:v>Фестиваль Парк-2</x:v>
      </x:c>
      <x:c r="D83" s="18" t="n">
        <x:v>9</x:v>
      </x:c>
      <x:c r="E83" s="19" t="n">
        <x:v>466.6</x:v>
      </x:c>
      <x:c r="F83" s="19" t="n">
        <x:v>193878764.45</x:v>
      </x:c>
      <x:c r="G83" s="19" t="n">
        <x:v>0</x:v>
      </x:c>
      <x:c r="H83" s="19" t="n">
        <x:f>E83-G83</x:f>
        <x:v>466.6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>
      <x:c r="A84" s="1" t="str">
        <x:v>30548</x:v>
      </x:c>
      <x:c r="B84" s="16" t="n">
        <x:v>45566</x:v>
      </x:c>
      <x:c r="C84" s="1" t="str">
        <x:v>Фестиваль Парк-2</x:v>
      </x:c>
      <x:c r="D84" s="18" t="n">
        <x:v>209</x:v>
      </x:c>
      <x:c r="E84" s="19" t="n">
        <x:v>13254.6</x:v>
      </x:c>
      <x:c r="F84" s="19" t="n">
        <x:v>4592344202.86</x:v>
      </x:c>
      <x:c r="G84" s="19" t="n">
        <x:v>0</x:v>
      </x:c>
      <x:c r="H84" s="19" t="n">
        <x:f>E84-G84</x:f>
        <x:v>13254.6</x:v>
      </x:c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>
      <x:c r="A85" s="1" t="str">
        <x:v>38951</x:v>
      </x:c>
      <x:c r="B85" s="16" t="n">
        <x:v>44197</x:v>
      </x:c>
      <x:c r="C85" s="1" t="str">
        <x:v>L38 Ленинский</x:v>
      </x:c>
      <x:c r="D85" s="18" t="n">
        <x:v>0</x:v>
      </x:c>
      <x:c r="E85" s="19" t="n">
        <x:v>0</x:v>
      </x:c>
      <x:c r="F85" s="19" t="n">
        <x:v>0</x:v>
      </x:c>
      <x:c r="G85" s="19" t="n">
        <x:v>0</x:v>
      </x:c>
      <x:c r="H85" s="19" t="n">
        <x:f>E85-G85</x:f>
        <x:v>0</x:v>
      </x:c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>
      <x:c r="A86" s="1" t="str">
        <x:v>38951</x:v>
      </x:c>
      <x:c r="B86" s="16" t="n">
        <x:v>44228</x:v>
      </x:c>
      <x:c r="C86" s="1" t="str">
        <x:v>L38 Ленинский</x:v>
      </x:c>
      <x:c r="D86" s="18" t="n">
        <x:v>0</x:v>
      </x:c>
      <x:c r="E86" s="19" t="n">
        <x:v>0</x:v>
      </x:c>
      <x:c r="F86" s="19" t="n">
        <x:v>0</x:v>
      </x:c>
      <x:c r="G86" s="19" t="n">
        <x:v>0</x:v>
      </x:c>
      <x:c r="H86" s="19" t="n">
        <x:f>E86-G86</x:f>
        <x:v>0</x:v>
      </x:c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>
      <x:c r="A87" s="1" t="str">
        <x:v>38951</x:v>
      </x:c>
      <x:c r="B87" s="16" t="n">
        <x:v>44256</x:v>
      </x:c>
      <x:c r="C87" s="1" t="str">
        <x:v>L38 Ленинский</x:v>
      </x:c>
      <x:c r="D87" s="18" t="n">
        <x:v>0</x:v>
      </x:c>
      <x:c r="E87" s="19" t="n">
        <x:v>0</x:v>
      </x:c>
      <x:c r="F87" s="19" t="n">
        <x:v>0</x:v>
      </x:c>
      <x:c r="G87" s="19" t="n">
        <x:v>0</x:v>
      </x:c>
      <x:c r="H87" s="19" t="n">
        <x:f>E87-G87</x:f>
        <x:v>0</x:v>
      </x:c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>
      <x:c r="A88" s="1" t="str">
        <x:v>38951</x:v>
      </x:c>
      <x:c r="B88" s="16" t="n">
        <x:v>44287</x:v>
      </x:c>
      <x:c r="C88" s="1" t="str">
        <x:v>L38 Ленинский</x:v>
      </x:c>
      <x:c r="D88" s="18" t="n">
        <x:v>0</x:v>
      </x:c>
      <x:c r="E88" s="19" t="n">
        <x:v>0</x:v>
      </x:c>
      <x:c r="F88" s="19" t="n">
        <x:v>0</x:v>
      </x:c>
      <x:c r="G88" s="19" t="n">
        <x:v>0</x:v>
      </x:c>
      <x:c r="H88" s="19" t="n">
        <x:f>E88-G88</x:f>
        <x:v>0</x:v>
      </x:c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>
      <x:c r="A89" s="1" t="str">
        <x:v>38951</x:v>
      </x:c>
      <x:c r="B89" s="16" t="n">
        <x:v>44317</x:v>
      </x:c>
      <x:c r="C89" s="1" t="str">
        <x:v>L38 Ленинский</x:v>
      </x:c>
      <x:c r="D89" s="18" t="n">
        <x:v>0</x:v>
      </x:c>
      <x:c r="E89" s="19" t="n">
        <x:v>0</x:v>
      </x:c>
      <x:c r="F89" s="19" t="n">
        <x:v>0</x:v>
      </x:c>
      <x:c r="G89" s="19" t="n">
        <x:v>0</x:v>
      </x:c>
      <x:c r="H89" s="19" t="n">
        <x:f>E89-G89</x:f>
        <x:v>0</x:v>
      </x:c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>
      <x:c r="A90" s="1" t="str">
        <x:v>38951</x:v>
      </x:c>
      <x:c r="B90" s="16" t="n">
        <x:v>44348</x:v>
      </x:c>
      <x:c r="C90" s="1" t="str">
        <x:v>L38 Ленинский</x:v>
      </x:c>
      <x:c r="D90" s="18" t="n">
        <x:v>0</x:v>
      </x:c>
      <x:c r="E90" s="19" t="n">
        <x:v>0</x:v>
      </x:c>
      <x:c r="F90" s="19" t="n">
        <x:v>0</x:v>
      </x:c>
      <x:c r="G90" s="19" t="n">
        <x:v>0</x:v>
      </x:c>
      <x:c r="H90" s="19" t="n">
        <x:f>E90-G90</x:f>
        <x:v>0</x:v>
      </x:c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>
      <x:c r="A91" s="1" t="str">
        <x:v>38951</x:v>
      </x:c>
      <x:c r="B91" s="16" t="n">
        <x:v>44378</x:v>
      </x:c>
      <x:c r="C91" s="1" t="str">
        <x:v>L38 Ленинский</x:v>
      </x:c>
      <x:c r="D91" s="18" t="n">
        <x:v>0</x:v>
      </x:c>
      <x:c r="E91" s="19" t="n">
        <x:v>0</x:v>
      </x:c>
      <x:c r="F91" s="19" t="n">
        <x:v>0</x:v>
      </x:c>
      <x:c r="G91" s="19" t="n">
        <x:v>0</x:v>
      </x:c>
      <x:c r="H91" s="19" t="n">
        <x:f>E91-G91</x:f>
        <x:v>0</x:v>
      </x:c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>
      <x:c r="A92" s="1" t="str">
        <x:v>38951</x:v>
      </x:c>
      <x:c r="B92" s="16" t="n">
        <x:v>44409</x:v>
      </x:c>
      <x:c r="C92" s="1" t="str">
        <x:v>L38 Ленинский</x:v>
      </x:c>
      <x:c r="D92" s="18" t="n">
        <x:v>0</x:v>
      </x:c>
      <x:c r="E92" s="19" t="n">
        <x:v>0</x:v>
      </x:c>
      <x:c r="F92" s="19" t="n">
        <x:v>0</x:v>
      </x:c>
      <x:c r="G92" s="19" t="n">
        <x:v>0</x:v>
      </x:c>
      <x:c r="H92" s="19" t="n">
        <x:f>E92-G92</x:f>
        <x:v>0</x:v>
      </x:c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>
      <x:c r="A93" s="1" t="str">
        <x:v>38951</x:v>
      </x:c>
      <x:c r="B93" s="16" t="n">
        <x:v>44440</x:v>
      </x:c>
      <x:c r="C93" s="1" t="str">
        <x:v>L38 Ленинский</x:v>
      </x:c>
      <x:c r="D93" s="18" t="n">
        <x:v>0</x:v>
      </x:c>
      <x:c r="E93" s="19" t="n">
        <x:v>0</x:v>
      </x:c>
      <x:c r="F93" s="19" t="n">
        <x:v>0</x:v>
      </x:c>
      <x:c r="G93" s="19" t="n">
        <x:v>0</x:v>
      </x:c>
      <x:c r="H93" s="19" t="n">
        <x:f>E93-G93</x:f>
        <x:v>0</x:v>
      </x:c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>
      <x:c r="A94" s="1" t="str">
        <x:v>38951</x:v>
      </x:c>
      <x:c r="B94" s="16" t="n">
        <x:v>44470</x:v>
      </x:c>
      <x:c r="C94" s="1" t="str">
        <x:v>L38 Ленинский</x:v>
      </x:c>
      <x:c r="D94" s="18" t="n">
        <x:v>0</x:v>
      </x:c>
      <x:c r="E94" s="19" t="n">
        <x:v>0</x:v>
      </x:c>
      <x:c r="F94" s="19" t="n">
        <x:v>0</x:v>
      </x:c>
      <x:c r="G94" s="19" t="n">
        <x:v>0</x:v>
      </x:c>
      <x:c r="H94" s="19" t="n">
        <x:f>E94-G94</x:f>
        <x:v>0</x:v>
      </x:c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>
      <x:c r="A95" s="1" t="str">
        <x:v>38951</x:v>
      </x:c>
      <x:c r="B95" s="16" t="n">
        <x:v>44501</x:v>
      </x:c>
      <x:c r="C95" s="1" t="str">
        <x:v>L38 Ленинский</x:v>
      </x:c>
      <x:c r="D95" s="18" t="n">
        <x:v>0</x:v>
      </x:c>
      <x:c r="E95" s="19" t="n">
        <x:v>0</x:v>
      </x:c>
      <x:c r="F95" s="19" t="n">
        <x:v>0</x:v>
      </x:c>
      <x:c r="G95" s="19" t="n">
        <x:v>0</x:v>
      </x:c>
      <x:c r="H95" s="19" t="n">
        <x:f>E95-G95</x:f>
        <x:v>0</x:v>
      </x:c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>
      <x:c r="A96" s="1" t="str">
        <x:v>38951</x:v>
      </x:c>
      <x:c r="B96" s="16" t="n">
        <x:v>44531</x:v>
      </x:c>
      <x:c r="C96" s="1" t="str">
        <x:v>L38 Ленинский</x:v>
      </x:c>
      <x:c r="D96" s="18" t="n">
        <x:v>0</x:v>
      </x:c>
      <x:c r="E96" s="19" t="n">
        <x:v>0</x:v>
      </x:c>
      <x:c r="F96" s="19" t="n">
        <x:v>0</x:v>
      </x:c>
      <x:c r="G96" s="19" t="n">
        <x:v>0</x:v>
      </x:c>
      <x:c r="H96" s="19" t="n">
        <x:f>E96-G96</x:f>
        <x:v>0</x:v>
      </x:c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>
      <x:c r="A97" s="1" t="str">
        <x:v>38951</x:v>
      </x:c>
      <x:c r="B97" s="16" t="n">
        <x:v>44562</x:v>
      </x:c>
      <x:c r="C97" s="1" t="str">
        <x:v>L38 Ленинский</x:v>
      </x:c>
      <x:c r="D97" s="18" t="n">
        <x:v>0</x:v>
      </x:c>
      <x:c r="E97" s="19" t="n">
        <x:v>0</x:v>
      </x:c>
      <x:c r="F97" s="19" t="n">
        <x:v>0</x:v>
      </x:c>
      <x:c r="G97" s="19" t="n">
        <x:v>0</x:v>
      </x:c>
      <x:c r="H97" s="19" t="n">
        <x:f>E97-G97</x:f>
        <x:v>0</x:v>
      </x:c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>
      <x:c r="A98" s="1" t="str">
        <x:v>38951</x:v>
      </x:c>
      <x:c r="B98" s="16" t="n">
        <x:v>44593</x:v>
      </x:c>
      <x:c r="C98" s="1" t="str">
        <x:v>L38 Ленинский</x:v>
      </x:c>
      <x:c r="D98" s="18" t="n">
        <x:v>0</x:v>
      </x:c>
      <x:c r="E98" s="19" t="n">
        <x:v>0</x:v>
      </x:c>
      <x:c r="F98" s="19" t="n">
        <x:v>0</x:v>
      </x:c>
      <x:c r="G98" s="19" t="n">
        <x:v>0</x:v>
      </x:c>
      <x:c r="H98" s="19" t="n">
        <x:f>E98-G98</x:f>
        <x:v>0</x:v>
      </x:c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>
      <x:c r="A99" s="1" t="str">
        <x:v>38951</x:v>
      </x:c>
      <x:c r="B99" s="16" t="n">
        <x:v>44621</x:v>
      </x:c>
      <x:c r="C99" s="1" t="str">
        <x:v>L38 Ленинский</x:v>
      </x:c>
      <x:c r="D99" s="18" t="n">
        <x:v>0</x:v>
      </x:c>
      <x:c r="E99" s="19" t="n">
        <x:v>0</x:v>
      </x:c>
      <x:c r="F99" s="19" t="n">
        <x:v>0</x:v>
      </x:c>
      <x:c r="G99" s="19" t="n">
        <x:v>0</x:v>
      </x:c>
      <x:c r="H99" s="19" t="n">
        <x:f>E99-G99</x:f>
        <x:v>0</x:v>
      </x:c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>
      <x:c r="A100" s="1" t="str">
        <x:v>38951</x:v>
      </x:c>
      <x:c r="B100" s="16" t="n">
        <x:v>44652</x:v>
      </x:c>
      <x:c r="C100" s="1" t="str">
        <x:v>L38 Ленинский</x:v>
      </x:c>
      <x:c r="D100" s="18" t="n">
        <x:v>0</x:v>
      </x:c>
      <x:c r="E100" s="19" t="n">
        <x:v>0</x:v>
      </x:c>
      <x:c r="F100" s="19" t="n">
        <x:v>0</x:v>
      </x:c>
      <x:c r="G100" s="19" t="n">
        <x:v>0</x:v>
      </x:c>
      <x:c r="H100" s="19" t="n">
        <x:f>E100-G100</x:f>
        <x:v>0</x:v>
      </x:c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>
      <x:c r="A101" t="str">
        <x:v>38951</x:v>
      </x:c>
      <x:c r="B101" s="17" t="n">
        <x:v>44682</x:v>
      </x:c>
      <x:c r="C101" t="str">
        <x:v>L38 Ленинский</x:v>
      </x:c>
      <x:c r="D101" s="14" t="n">
        <x:v>0</x:v>
      </x:c>
      <x:c r="E101" s="20" t="n">
        <x:v>0</x:v>
      </x:c>
      <x:c r="F101" s="20" t="n">
        <x:v>0</x:v>
      </x:c>
      <x:c r="G101" s="20" t="n">
        <x:v>0</x:v>
      </x:c>
      <x:c r="H101" s="20" t="n">
        <x:f>E101-G101</x:f>
        <x:v>0</x:v>
      </x:c>
    </x:row>
    <x:row r="102">
      <x:c r="A102" t="str">
        <x:v>38951</x:v>
      </x:c>
      <x:c r="B102" s="17" t="n">
        <x:v>44713</x:v>
      </x:c>
      <x:c r="C102" t="str">
        <x:v>L38 Ленинский</x:v>
      </x:c>
      <x:c r="D102" s="14" t="n">
        <x:v>0</x:v>
      </x:c>
      <x:c r="E102" s="20" t="n">
        <x:v>0</x:v>
      </x:c>
      <x:c r="F102" s="20" t="n">
        <x:v>0</x:v>
      </x:c>
      <x:c r="G102" s="20" t="n">
        <x:v>0</x:v>
      </x:c>
      <x:c r="H102" s="20" t="n">
        <x:f>E102-G102</x:f>
        <x:v>0</x:v>
      </x:c>
    </x:row>
    <x:row r="103">
      <x:c r="A103" t="str">
        <x:v>38951</x:v>
      </x:c>
      <x:c r="B103" s="17" t="n">
        <x:v>44743</x:v>
      </x:c>
      <x:c r="C103" t="str">
        <x:v>L38 Ленинский</x:v>
      </x:c>
      <x:c r="D103" s="14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f>E103-G103</x:f>
        <x:v>0</x:v>
      </x:c>
    </x:row>
    <x:row r="104">
      <x:c r="A104" t="str">
        <x:v>38951</x:v>
      </x:c>
      <x:c r="B104" s="17" t="n">
        <x:v>44774</x:v>
      </x:c>
      <x:c r="C104" t="str">
        <x:v>L38 Ленинский</x:v>
      </x:c>
      <x:c r="D104" s="14" t="n">
        <x:v>0</x:v>
      </x:c>
      <x:c r="E104" s="20" t="n">
        <x:v>0</x:v>
      </x:c>
      <x:c r="F104" s="20" t="n">
        <x:v>0</x:v>
      </x:c>
      <x:c r="G104" s="20" t="n">
        <x:v>0</x:v>
      </x:c>
      <x:c r="H104" s="20" t="n">
        <x:f>E104-G104</x:f>
        <x:v>0</x:v>
      </x:c>
    </x:row>
    <x:row r="105">
      <x:c r="A105" t="str">
        <x:v>38951</x:v>
      </x:c>
      <x:c r="B105" s="17" t="n">
        <x:v>44805</x:v>
      </x:c>
      <x:c r="C105" t="str">
        <x:v>L38 Ленинский</x:v>
      </x:c>
      <x:c r="D105" s="14" t="n">
        <x:v>0</x:v>
      </x:c>
      <x:c r="E105" s="20" t="n">
        <x:v>0</x:v>
      </x:c>
      <x:c r="F105" s="20" t="n">
        <x:v>0</x:v>
      </x:c>
      <x:c r="G105" s="20" t="n">
        <x:v>0</x:v>
      </x:c>
      <x:c r="H105" s="20" t="n">
        <x:f>E105-G105</x:f>
        <x:v>0</x:v>
      </x:c>
    </x:row>
    <x:row r="106">
      <x:c r="A106" t="str">
        <x:v>38951</x:v>
      </x:c>
      <x:c r="B106" s="17" t="n">
        <x:v>44835</x:v>
      </x:c>
      <x:c r="C106" t="str">
        <x:v>L38 Ленинский</x:v>
      </x:c>
      <x:c r="D106" s="14" t="n">
        <x:v>0</x:v>
      </x:c>
      <x:c r="E106" s="20" t="n">
        <x:v>0</x:v>
      </x:c>
      <x:c r="F106" s="20" t="n">
        <x:v>0</x:v>
      </x:c>
      <x:c r="G106" s="20" t="n">
        <x:v>0</x:v>
      </x:c>
      <x:c r="H106" s="20" t="n">
        <x:f>E106-G106</x:f>
        <x:v>0</x:v>
      </x:c>
    </x:row>
    <x:row r="107">
      <x:c r="A107" t="str">
        <x:v>38951</x:v>
      </x:c>
      <x:c r="B107" s="17" t="n">
        <x:v>44866</x:v>
      </x:c>
      <x:c r="C107" t="str">
        <x:v>L38 Ленинский</x:v>
      </x:c>
      <x:c r="D107" s="14" t="n">
        <x:v>0</x:v>
      </x:c>
      <x:c r="E107" s="20" t="n">
        <x:v>0</x:v>
      </x:c>
      <x:c r="F107" s="20" t="n">
        <x:v>0</x:v>
      </x:c>
      <x:c r="G107" s="20" t="n">
        <x:v>0</x:v>
      </x:c>
      <x:c r="H107" s="20" t="n">
        <x:f>E107-G107</x:f>
        <x:v>0</x:v>
      </x:c>
    </x:row>
    <x:row r="108">
      <x:c r="A108" t="str">
        <x:v>38951</x:v>
      </x:c>
      <x:c r="B108" s="17" t="n">
        <x:v>44896</x:v>
      </x:c>
      <x:c r="C108" t="str">
        <x:v>L38 Ленинский</x:v>
      </x:c>
      <x:c r="D108" s="14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f>E108-G108</x:f>
        <x:v>0</x:v>
      </x:c>
    </x:row>
    <x:row r="109">
      <x:c r="A109" t="str">
        <x:v>38951</x:v>
      </x:c>
      <x:c r="B109" s="17" t="n">
        <x:v>44927</x:v>
      </x:c>
      <x:c r="C109" t="str">
        <x:v>L38 Ленинский</x:v>
      </x:c>
      <x:c r="D109" s="14" t="n">
        <x:v>0</x:v>
      </x:c>
      <x:c r="E109" s="20" t="n">
        <x:v>0</x:v>
      </x:c>
      <x:c r="F109" s="20" t="n">
        <x:v>0</x:v>
      </x:c>
      <x:c r="G109" s="20" t="n">
        <x:v>0</x:v>
      </x:c>
      <x:c r="H109" s="20" t="n">
        <x:f>E109-G109</x:f>
        <x:v>0</x:v>
      </x:c>
    </x:row>
    <x:row r="110">
      <x:c r="A110" t="str">
        <x:v>38951</x:v>
      </x:c>
      <x:c r="B110" s="17" t="n">
        <x:v>44958</x:v>
      </x:c>
      <x:c r="C110" t="str">
        <x:v>L38 Ленинский</x:v>
      </x:c>
      <x:c r="D110" s="14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f>E110-G110</x:f>
        <x:v>0</x:v>
      </x:c>
    </x:row>
    <x:row r="111">
      <x:c r="A111" t="str">
        <x:v>38951</x:v>
      </x:c>
      <x:c r="B111" s="17" t="n">
        <x:v>44986</x:v>
      </x:c>
      <x:c r="C111" t="str">
        <x:v>L38 Ленинский</x:v>
      </x:c>
      <x:c r="D111" s="14" t="n">
        <x:v>0</x:v>
      </x:c>
      <x:c r="E111" s="20" t="n">
        <x:v>0</x:v>
      </x:c>
      <x:c r="F111" s="20" t="n">
        <x:v>0</x:v>
      </x:c>
      <x:c r="G111" s="20" t="n">
        <x:v>0</x:v>
      </x:c>
      <x:c r="H111" s="20" t="n">
        <x:f>E111-G111</x:f>
        <x:v>0</x:v>
      </x:c>
    </x:row>
    <x:row r="112">
      <x:c r="A112" t="str">
        <x:v>38951</x:v>
      </x:c>
      <x:c r="B112" s="17" t="n">
        <x:v>45017</x:v>
      </x:c>
      <x:c r="C112" t="str">
        <x:v>L38 Ленинский</x:v>
      </x:c>
      <x:c r="D112" s="14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f>E112-G112</x:f>
        <x:v>0</x:v>
      </x:c>
    </x:row>
    <x:row r="113">
      <x:c r="A113" t="str">
        <x:v>38951</x:v>
      </x:c>
      <x:c r="B113" s="17" t="n">
        <x:v>45047</x:v>
      </x:c>
      <x:c r="C113" t="str">
        <x:v>L38 Ленинский</x:v>
      </x:c>
      <x:c r="D113" s="14" t="n">
        <x:v>0</x:v>
      </x:c>
      <x:c r="E113" s="20" t="n">
        <x:v>0</x:v>
      </x:c>
      <x:c r="F113" s="20" t="n">
        <x:v>0</x:v>
      </x:c>
      <x:c r="G113" s="20" t="n">
        <x:v>0</x:v>
      </x:c>
      <x:c r="H113" s="20" t="n">
        <x:f>E113-G113</x:f>
        <x:v>0</x:v>
      </x:c>
    </x:row>
    <x:row r="114">
      <x:c r="A114" t="str">
        <x:v>38951</x:v>
      </x:c>
      <x:c r="B114" s="17" t="n">
        <x:v>45078</x:v>
      </x:c>
      <x:c r="C114" t="str">
        <x:v>L38 Ленинский</x:v>
      </x:c>
      <x:c r="D114" s="14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f>E114-G114</x:f>
        <x:v>0</x:v>
      </x:c>
    </x:row>
    <x:row r="115">
      <x:c r="A115" t="str">
        <x:v>38951</x:v>
      </x:c>
      <x:c r="B115" s="17" t="n">
        <x:v>45108</x:v>
      </x:c>
      <x:c r="C115" t="str">
        <x:v>L38 Ленинский</x:v>
      </x:c>
      <x:c r="D115" s="14" t="n">
        <x:v>0</x:v>
      </x:c>
      <x:c r="E115" s="20" t="n">
        <x:v>0</x:v>
      </x:c>
      <x:c r="F115" s="20" t="n">
        <x:v>0</x:v>
      </x:c>
      <x:c r="G115" s="20" t="n">
        <x:v>0</x:v>
      </x:c>
      <x:c r="H115" s="20" t="n">
        <x:f>E115-G115</x:f>
        <x:v>0</x:v>
      </x:c>
    </x:row>
    <x:row r="116">
      <x:c r="A116" t="str">
        <x:v>38951</x:v>
      </x:c>
      <x:c r="B116" s="17" t="n">
        <x:v>45139</x:v>
      </x:c>
      <x:c r="C116" t="str">
        <x:v>L38 Ленинский</x:v>
      </x:c>
      <x:c r="D116" s="14" t="n">
        <x:v>0</x:v>
      </x:c>
      <x:c r="E116" s="20" t="n">
        <x:v>0</x:v>
      </x:c>
      <x:c r="F116" s="20" t="n">
        <x:v>0</x:v>
      </x:c>
      <x:c r="G116" s="20" t="n">
        <x:v>0</x:v>
      </x:c>
      <x:c r="H116" s="20" t="n">
        <x:f>E116-G116</x:f>
        <x:v>0</x:v>
      </x:c>
    </x:row>
    <x:row r="117">
      <x:c r="A117" t="str">
        <x:v>38951</x:v>
      </x:c>
      <x:c r="B117" s="17" t="n">
        <x:v>45170</x:v>
      </x:c>
      <x:c r="C117" t="str">
        <x:v>L38 Ленинский</x:v>
      </x:c>
      <x:c r="D117" s="14" t="n">
        <x:v>166</x:v>
      </x:c>
      <x:c r="E117" s="20" t="n">
        <x:v>10275.43</x:v>
      </x:c>
      <x:c r="F117" s="20" t="n">
        <x:v>5206840142.8</x:v>
      </x:c>
      <x:c r="G117" s="20" t="n">
        <x:v>0</x:v>
      </x:c>
      <x:c r="H117" s="20" t="n">
        <x:f>E117-G117</x:f>
        <x:v>10275.43</x:v>
      </x:c>
    </x:row>
    <x:row r="118">
      <x:c r="A118" t="str">
        <x:v>38951</x:v>
      </x:c>
      <x:c r="B118" s="17" t="n">
        <x:v>45200</x:v>
      </x:c>
      <x:c r="C118" t="str">
        <x:v>L38 Ленинский</x:v>
      </x:c>
      <x:c r="D118" s="14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f>E118-G118</x:f>
        <x:v>0</x:v>
      </x:c>
    </x:row>
    <x:row r="119">
      <x:c r="A119" t="str">
        <x:v>38951</x:v>
      </x:c>
      <x:c r="B119" s="17" t="n">
        <x:v>45231</x:v>
      </x:c>
      <x:c r="C119" t="str">
        <x:v>L38 Ленинский</x:v>
      </x:c>
      <x:c r="D119" s="14" t="n">
        <x:v>10</x:v>
      </x:c>
      <x:c r="E119" s="20" t="n">
        <x:v>773.65</x:v>
      </x:c>
      <x:c r="F119" s="20" t="n">
        <x:v>496499646.72</x:v>
      </x:c>
      <x:c r="G119" s="20" t="n">
        <x:v>0</x:v>
      </x:c>
      <x:c r="H119" s="20" t="n">
        <x:f>E119-G119</x:f>
        <x:v>773.65</x:v>
      </x:c>
    </x:row>
    <x:row r="120">
      <x:c r="A120" t="str">
        <x:v>38951</x:v>
      </x:c>
      <x:c r="B120" s="17" t="n">
        <x:v>45261</x:v>
      </x:c>
      <x:c r="C120" t="str">
        <x:v>L38 Ленинский</x:v>
      </x:c>
      <x:c r="D120" s="14" t="n">
        <x:v>4</x:v>
      </x:c>
      <x:c r="E120" s="20" t="n">
        <x:v>302.82</x:v>
      </x:c>
      <x:c r="F120" s="20" t="n">
        <x:v>232137658.7</x:v>
      </x:c>
      <x:c r="G120" s="20" t="n">
        <x:v>0</x:v>
      </x:c>
      <x:c r="H120" s="20" t="n">
        <x:f>E120-G120</x:f>
        <x:v>302.82</x:v>
      </x:c>
    </x:row>
    <x:row r="121">
      <x:c r="A121" t="str">
        <x:v>38951</x:v>
      </x:c>
      <x:c r="B121" s="17" t="n">
        <x:v>45292</x:v>
      </x:c>
      <x:c r="C121" t="str">
        <x:v>L38 Ленинский</x:v>
      </x:c>
      <x:c r="D121" s="14" t="n">
        <x:v>3</x:v>
      </x:c>
      <x:c r="E121" s="20" t="n">
        <x:v>155.15</x:v>
      </x:c>
      <x:c r="F121" s="20" t="n">
        <x:v>75473405.24</x:v>
      </x:c>
      <x:c r="G121" s="20" t="n">
        <x:v>0</x:v>
      </x:c>
      <x:c r="H121" s="20" t="n">
        <x:f>E121-G121</x:f>
        <x:v>155.15</x:v>
      </x:c>
    </x:row>
    <x:row r="122">
      <x:c r="A122" t="str">
        <x:v>38951</x:v>
      </x:c>
      <x:c r="B122" s="17" t="n">
        <x:v>45323</x:v>
      </x:c>
      <x:c r="C122" t="str">
        <x:v>L38 Ленинский</x:v>
      </x:c>
      <x:c r="D122" s="14" t="n">
        <x:v>10</x:v>
      </x:c>
      <x:c r="E122" s="20" t="n">
        <x:v>610.91</x:v>
      </x:c>
      <x:c r="F122" s="20" t="n">
        <x:v>391976918.47</x:v>
      </x:c>
      <x:c r="G122" s="20" t="n">
        <x:v>0</x:v>
      </x:c>
      <x:c r="H122" s="20" t="n">
        <x:f>E122-G122</x:f>
        <x:v>610.91</x:v>
      </x:c>
    </x:row>
    <x:row r="123">
      <x:c r="A123" t="str">
        <x:v>38951</x:v>
      </x:c>
      <x:c r="B123" s="17" t="n">
        <x:v>45352</x:v>
      </x:c>
      <x:c r="C123" t="str">
        <x:v>L38 Ленинский</x:v>
      </x:c>
      <x:c r="D123" s="14" t="n">
        <x:v>4</x:v>
      </x:c>
      <x:c r="E123" s="20" t="n">
        <x:v>427.69</x:v>
      </x:c>
      <x:c r="F123" s="20" t="n">
        <x:v>285592226.85</x:v>
      </x:c>
      <x:c r="G123" s="20" t="n">
        <x:v>0</x:v>
      </x:c>
      <x:c r="H123" s="20" t="n">
        <x:f>E123-G123</x:f>
        <x:v>427.69</x:v>
      </x:c>
    </x:row>
    <x:row r="124">
      <x:c r="A124" t="str">
        <x:v>38951</x:v>
      </x:c>
      <x:c r="B124" s="17" t="n">
        <x:v>45383</x:v>
      </x:c>
      <x:c r="C124" t="str">
        <x:v>L38 Ленинский</x:v>
      </x:c>
      <x:c r="D124" s="14" t="n">
        <x:v>4</x:v>
      </x:c>
      <x:c r="E124" s="20" t="n">
        <x:v>292.6</x:v>
      </x:c>
      <x:c r="F124" s="20" t="n">
        <x:v>179773789.53</x:v>
      </x:c>
      <x:c r="G124" s="20" t="n">
        <x:v>0</x:v>
      </x:c>
      <x:c r="H124" s="20" t="n">
        <x:f>E124-G124</x:f>
        <x:v>292.6</x:v>
      </x:c>
    </x:row>
    <x:row r="125">
      <x:c r="A125" t="str">
        <x:v>38951</x:v>
      </x:c>
      <x:c r="B125" s="17" t="n">
        <x:v>45413</x:v>
      </x:c>
      <x:c r="C125" t="str">
        <x:v>L38 Ленинский</x:v>
      </x:c>
      <x:c r="D125" s="14" t="n">
        <x:v>4</x:v>
      </x:c>
      <x:c r="E125" s="20" t="n">
        <x:v>377.16</x:v>
      </x:c>
      <x:c r="F125" s="20" t="n">
        <x:v>262310766.7</x:v>
      </x:c>
      <x:c r="G125" s="20" t="n">
        <x:v>0</x:v>
      </x:c>
      <x:c r="H125" s="20" t="n">
        <x:f>E125-G125</x:f>
        <x:v>377.16</x:v>
      </x:c>
    </x:row>
    <x:row r="126">
      <x:c r="A126" t="str">
        <x:v>38951</x:v>
      </x:c>
      <x:c r="B126" s="17" t="n">
        <x:v>45444</x:v>
      </x:c>
      <x:c r="C126" t="str">
        <x:v>L38 Ленинский</x:v>
      </x:c>
      <x:c r="D126" s="14" t="n">
        <x:v>2</x:v>
      </x:c>
      <x:c r="E126" s="20" t="n">
        <x:v>203.8</x:v>
      </x:c>
      <x:c r="F126" s="20" t="n">
        <x:v>123666027.5</x:v>
      </x:c>
      <x:c r="G126" s="20" t="n">
        <x:v>0</x:v>
      </x:c>
      <x:c r="H126" s="20" t="n">
        <x:f>E126-G126</x:f>
        <x:v>203.8</x:v>
      </x:c>
    </x:row>
    <x:row r="127">
      <x:c r="A127" t="str">
        <x:v>38951</x:v>
      </x:c>
      <x:c r="B127" s="17" t="n">
        <x:v>45474</x:v>
      </x:c>
      <x:c r="C127" t="str">
        <x:v>L38 Ленинский</x:v>
      </x:c>
      <x:c r="D127" s="14" t="n">
        <x:v>3</x:v>
      </x:c>
      <x:c r="E127" s="20" t="n">
        <x:v>240.79</x:v>
      </x:c>
      <x:c r="F127" s="20" t="n">
        <x:v>147532681.25</x:v>
      </x:c>
      <x:c r="G127" s="20" t="n">
        <x:v>0</x:v>
      </x:c>
      <x:c r="H127" s="20" t="n">
        <x:f>E127-G127</x:f>
        <x:v>240.79</x:v>
      </x:c>
    </x:row>
    <x:row r="128">
      <x:c r="A128" t="str">
        <x:v>38951</x:v>
      </x:c>
      <x:c r="B128" s="17" t="n">
        <x:v>45505</x:v>
      </x:c>
      <x:c r="C128" t="str">
        <x:v>L38 Ленинский</x:v>
      </x:c>
      <x:c r="D128" s="14" t="n">
        <x:v>4</x:v>
      </x:c>
      <x:c r="E128" s="20" t="n">
        <x:v>414</x:v>
      </x:c>
      <x:c r="F128" s="20" t="n">
        <x:v>225905337</x:v>
      </x:c>
      <x:c r="G128" s="20" t="n">
        <x:v>0</x:v>
      </x:c>
      <x:c r="H128" s="20" t="n">
        <x:f>E128-G128</x:f>
        <x:v>414</x:v>
      </x:c>
    </x:row>
    <x:row r="129">
      <x:c r="A129" t="str">
        <x:v>39273</x:v>
      </x:c>
      <x:c r="B129" s="17" t="n">
        <x:v>44228</x:v>
      </x:c>
      <x:c r="C129" t="str">
        <x:v>Город На Реке Тушино-2018</x:v>
      </x:c>
      <x:c r="D129" s="14" t="n">
        <x:v>0</x:v>
      </x:c>
      <x:c r="E129" s="20" t="n">
        <x:v>0</x:v>
      </x:c>
      <x:c r="F129" s="20" t="n">
        <x:v>0</x:v>
      </x:c>
      <x:c r="G129" s="20" t="n">
        <x:v>0</x:v>
      </x:c>
      <x:c r="H129" s="20" t="n">
        <x:f>E129-G129</x:f>
        <x:v>0</x:v>
      </x:c>
    </x:row>
    <x:row r="130">
      <x:c r="A130" t="str">
        <x:v>39273</x:v>
      </x:c>
      <x:c r="B130" s="17" t="n">
        <x:v>44256</x:v>
      </x:c>
      <x:c r="C130" t="str">
        <x:v>Город На Реке Тушино-2018</x:v>
      </x:c>
      <x:c r="D130" s="14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f>E130-G130</x:f>
        <x:v>0</x:v>
      </x:c>
    </x:row>
    <x:row r="131">
      <x:c r="A131" t="str">
        <x:v>39273</x:v>
      </x:c>
      <x:c r="B131" s="17" t="n">
        <x:v>44287</x:v>
      </x:c>
      <x:c r="C131" t="str">
        <x:v>Город На Реке Тушино-2018</x:v>
      </x:c>
      <x:c r="D131" s="14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f>E131-G131</x:f>
        <x:v>0</x:v>
      </x:c>
    </x:row>
    <x:row r="132">
      <x:c r="A132" t="str">
        <x:v>39273</x:v>
      </x:c>
      <x:c r="B132" s="17" t="n">
        <x:v>44348</x:v>
      </x:c>
      <x:c r="C132" t="str">
        <x:v>Город На Реке Тушино-2018</x:v>
      </x:c>
      <x:c r="D132" s="14" t="n">
        <x:v>220</x:v>
      </x:c>
      <x:c r="E132" s="20" t="n">
        <x:v>13553.17</x:v>
      </x:c>
      <x:c r="F132" s="20" t="n">
        <x:v>1242419093.9</x:v>
      </x:c>
      <x:c r="G132" s="20" t="n">
        <x:v>0</x:v>
      </x:c>
      <x:c r="H132" s="20" t="n">
        <x:f>E132-G132</x:f>
        <x:v>13553.17</x:v>
      </x:c>
    </x:row>
    <x:row r="133">
      <x:c r="A133" t="str">
        <x:v>39273</x:v>
      </x:c>
      <x:c r="B133" s="17" t="n">
        <x:v>44378</x:v>
      </x:c>
      <x:c r="C133" t="str">
        <x:v>Город На Реке Тушино-2018</x:v>
      </x:c>
      <x:c r="D133" s="14" t="n">
        <x:v>0</x:v>
      </x:c>
      <x:c r="E133" s="20" t="n">
        <x:v>0</x:v>
      </x:c>
      <x:c r="F133" s="20" t="n">
        <x:v>0</x:v>
      </x:c>
      <x:c r="G133" s="20" t="n">
        <x:v>0</x:v>
      </x:c>
      <x:c r="H133" s="20" t="n">
        <x:f>E133-G133</x:f>
        <x:v>0</x:v>
      </x:c>
    </x:row>
    <x:row r="134">
      <x:c r="A134" t="str">
        <x:v>39273</x:v>
      </x:c>
      <x:c r="B134" s="17" t="n">
        <x:v>44409</x:v>
      </x:c>
      <x:c r="C134" t="str">
        <x:v>Город На Реке Тушино-2018</x:v>
      </x:c>
      <x:c r="D134" s="14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f>E134-G134</x:f>
        <x:v>0</x:v>
      </x:c>
    </x:row>
    <x:row r="135">
      <x:c r="A135" t="str">
        <x:v>39273</x:v>
      </x:c>
      <x:c r="B135" s="17" t="n">
        <x:v>44440</x:v>
      </x:c>
      <x:c r="C135" t="str">
        <x:v>Город На Реке Тушино-2018</x:v>
      </x:c>
      <x:c r="D135" s="14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f>E135-G135</x:f>
        <x:v>0</x:v>
      </x:c>
    </x:row>
    <x:row r="136">
      <x:c r="A136" t="str">
        <x:v>39273</x:v>
      </x:c>
      <x:c r="B136" s="17" t="n">
        <x:v>44470</x:v>
      </x:c>
      <x:c r="C136" t="str">
        <x:v>Город На Реке Тушино-2018</x:v>
      </x:c>
      <x:c r="D136" s="14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f>E136-G136</x:f>
        <x:v>0</x:v>
      </x:c>
    </x:row>
    <x:row r="137">
      <x:c r="A137" t="str">
        <x:v>39273</x:v>
      </x:c>
      <x:c r="B137" s="17" t="n">
        <x:v>44501</x:v>
      </x:c>
      <x:c r="C137" t="str">
        <x:v>Город На Реке Тушино-2018</x:v>
      </x:c>
      <x:c r="D137" s="14" t="n">
        <x:v>0</x:v>
      </x:c>
      <x:c r="E137" s="20" t="n">
        <x:v>0</x:v>
      </x:c>
      <x:c r="F137" s="20" t="n">
        <x:v>0</x:v>
      </x:c>
      <x:c r="G137" s="20" t="n">
        <x:v>0</x:v>
      </x:c>
      <x:c r="H137" s="20" t="n">
        <x:f>E137-G137</x:f>
        <x:v>0</x:v>
      </x:c>
    </x:row>
    <x:row r="138">
      <x:c r="A138" t="str">
        <x:v>39273</x:v>
      </x:c>
      <x:c r="B138" s="17" t="n">
        <x:v>44531</x:v>
      </x:c>
      <x:c r="C138" t="str">
        <x:v>Город На Реке Тушино-2018</x:v>
      </x:c>
      <x:c r="D138" s="14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f>E138-G138</x:f>
        <x:v>0</x:v>
      </x:c>
    </x:row>
    <x:row r="139">
      <x:c r="A139" t="str">
        <x:v>39273</x:v>
      </x:c>
      <x:c r="B139" s="17" t="n">
        <x:v>44562</x:v>
      </x:c>
      <x:c r="C139" t="str">
        <x:v>Город На Реке Тушино-2018</x:v>
      </x:c>
      <x:c r="D139" s="14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f>E139-G139</x:f>
        <x:v>0</x:v>
      </x:c>
    </x:row>
    <x:row r="140">
      <x:c r="A140" t="str">
        <x:v>39273</x:v>
      </x:c>
      <x:c r="B140" s="17" t="n">
        <x:v>44593</x:v>
      </x:c>
      <x:c r="C140" t="str">
        <x:v>Город На Реке Тушино-2018</x:v>
      </x:c>
      <x:c r="D140" s="14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f>E140-G140</x:f>
        <x:v>0</x:v>
      </x:c>
    </x:row>
    <x:row r="141">
      <x:c r="A141" t="str">
        <x:v>39273</x:v>
      </x:c>
      <x:c r="B141" s="17" t="n">
        <x:v>44621</x:v>
      </x:c>
      <x:c r="C141" t="str">
        <x:v>Город На Реке Тушино-2018</x:v>
      </x:c>
      <x:c r="D141" s="14" t="n">
        <x:v>0</x:v>
      </x:c>
      <x:c r="E141" s="20" t="n">
        <x:v>0</x:v>
      </x:c>
      <x:c r="F141" s="20" t="n">
        <x:v>0</x:v>
      </x:c>
      <x:c r="G141" s="20" t="n">
        <x:v>0</x:v>
      </x:c>
      <x:c r="H141" s="20" t="n">
        <x:f>E141-G141</x:f>
        <x:v>0</x:v>
      </x:c>
    </x:row>
    <x:row r="142">
      <x:c r="A142" t="str">
        <x:v>39273</x:v>
      </x:c>
      <x:c r="B142" s="17" t="n">
        <x:v>44652</x:v>
      </x:c>
      <x:c r="C142" t="str">
        <x:v>Город На Реке Тушино-2018</x:v>
      </x:c>
      <x:c r="D142" s="14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f>E142-G142</x:f>
        <x:v>0</x:v>
      </x:c>
    </x:row>
    <x:row r="143">
      <x:c r="A143" t="str">
        <x:v>39273</x:v>
      </x:c>
      <x:c r="B143" s="17" t="n">
        <x:v>44682</x:v>
      </x:c>
      <x:c r="C143" t="str">
        <x:v>Город На Реке Тушино-2018</x:v>
      </x:c>
      <x:c r="D143" s="14" t="n">
        <x:v>0</x:v>
      </x:c>
      <x:c r="E143" s="20" t="n">
        <x:v>0</x:v>
      </x:c>
      <x:c r="F143" s="20" t="n">
        <x:v>0</x:v>
      </x:c>
      <x:c r="G143" s="20" t="n">
        <x:v>0</x:v>
      </x:c>
      <x:c r="H143" s="20" t="n">
        <x:f>E143-G143</x:f>
        <x:v>0</x:v>
      </x:c>
    </x:row>
    <x:row r="144">
      <x:c r="A144" t="str">
        <x:v>39273</x:v>
      </x:c>
      <x:c r="B144" s="17" t="n">
        <x:v>44713</x:v>
      </x:c>
      <x:c r="C144" t="str">
        <x:v>Город На Реке Тушино-2018</x:v>
      </x:c>
      <x:c r="D144" s="14" t="n">
        <x:v>0</x:v>
      </x:c>
      <x:c r="E144" s="20" t="n">
        <x:v>0</x:v>
      </x:c>
      <x:c r="F144" s="20" t="n">
        <x:v>0</x:v>
      </x:c>
      <x:c r="G144" s="20" t="n">
        <x:v>0</x:v>
      </x:c>
      <x:c r="H144" s="20" t="n">
        <x:f>E144-G144</x:f>
        <x:v>0</x:v>
      </x:c>
    </x:row>
    <x:row r="145">
      <x:c r="A145" t="str">
        <x:v>39273</x:v>
      </x:c>
      <x:c r="B145" s="17" t="n">
        <x:v>44743</x:v>
      </x:c>
      <x:c r="C145" t="str">
        <x:v>Город На Реке Тушино-2018</x:v>
      </x:c>
      <x:c r="D145" s="14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f>E145-G145</x:f>
        <x:v>0</x:v>
      </x:c>
    </x:row>
    <x:row r="146">
      <x:c r="A146" t="str">
        <x:v>39273</x:v>
      </x:c>
      <x:c r="B146" s="17" t="n">
        <x:v>44774</x:v>
      </x:c>
      <x:c r="C146" t="str">
        <x:v>Город На Реке Тушино-2018</x:v>
      </x:c>
      <x:c r="D146" s="14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f>E146-G146</x:f>
        <x:v>0</x:v>
      </x:c>
    </x:row>
    <x:row r="147">
      <x:c r="A147" t="str">
        <x:v>39273</x:v>
      </x:c>
      <x:c r="B147" s="17" t="n">
        <x:v>44805</x:v>
      </x:c>
      <x:c r="C147" t="str">
        <x:v>Город На Реке Тушино-2018</x:v>
      </x:c>
      <x:c r="D147" s="14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f>E147-G147</x:f>
        <x:v>0</x:v>
      </x:c>
    </x:row>
    <x:row r="148">
      <x:c r="A148" t="str">
        <x:v>39273</x:v>
      </x:c>
      <x:c r="B148" s="17" t="n">
        <x:v>44835</x:v>
      </x:c>
      <x:c r="C148" t="str">
        <x:v>Город На Реке Тушино-2018</x:v>
      </x:c>
      <x:c r="D148" s="14" t="n">
        <x:v>0</x:v>
      </x:c>
      <x:c r="E148" s="20" t="n">
        <x:v>0</x:v>
      </x:c>
      <x:c r="F148" s="20" t="n">
        <x:v>0</x:v>
      </x:c>
      <x:c r="G148" s="20" t="n">
        <x:v>0</x:v>
      </x:c>
      <x:c r="H148" s="20" t="n">
        <x:f>E148-G148</x:f>
        <x:v>0</x:v>
      </x:c>
    </x:row>
    <x:row r="149">
      <x:c r="A149" t="str">
        <x:v>39273</x:v>
      </x:c>
      <x:c r="B149" s="17" t="n">
        <x:v>44866</x:v>
      </x:c>
      <x:c r="C149" t="str">
        <x:v>Город На Реке Тушино-2018</x:v>
      </x:c>
      <x:c r="D149" s="14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f>E149-G149</x:f>
        <x:v>0</x:v>
      </x:c>
    </x:row>
    <x:row r="150">
      <x:c r="A150" t="str">
        <x:v>39273</x:v>
      </x:c>
      <x:c r="B150" s="17" t="n">
        <x:v>44896</x:v>
      </x:c>
      <x:c r="C150" t="str">
        <x:v>Город На Реке Тушино-2018</x:v>
      </x:c>
      <x:c r="D150" s="14" t="n">
        <x:v>0</x:v>
      </x:c>
      <x:c r="E150" s="20" t="n">
        <x:v>0</x:v>
      </x:c>
      <x:c r="F150" s="20" t="n">
        <x:v>0</x:v>
      </x:c>
      <x:c r="G150" s="20" t="n">
        <x:v>0</x:v>
      </x:c>
      <x:c r="H150" s="20" t="n">
        <x:f>E150-G150</x:f>
        <x:v>0</x:v>
      </x:c>
    </x:row>
    <x:row r="151">
      <x:c r="A151" t="str">
        <x:v>39273</x:v>
      </x:c>
      <x:c r="B151" s="17" t="n">
        <x:v>44927</x:v>
      </x:c>
      <x:c r="C151" t="str">
        <x:v>Город На Реке Тушино-2018</x:v>
      </x:c>
      <x:c r="D151" s="14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f>E151-G151</x:f>
        <x:v>0</x:v>
      </x:c>
    </x:row>
    <x:row r="152">
      <x:c r="A152" t="str">
        <x:v>39273</x:v>
      </x:c>
      <x:c r="B152" s="17" t="n">
        <x:v>44958</x:v>
      </x:c>
      <x:c r="C152" t="str">
        <x:v>Город На Реке Тушино-2018</x:v>
      </x:c>
      <x:c r="D152" s="14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f>E152-G152</x:f>
        <x:v>0</x:v>
      </x:c>
    </x:row>
    <x:row r="153">
      <x:c r="A153" t="str">
        <x:v>39273</x:v>
      </x:c>
      <x:c r="B153" s="17" t="n">
        <x:v>44986</x:v>
      </x:c>
      <x:c r="C153" t="str">
        <x:v>Город На Реке Тушино-2018</x:v>
      </x:c>
      <x:c r="D153" s="14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f>E153-G153</x:f>
        <x:v>0</x:v>
      </x:c>
    </x:row>
    <x:row r="154">
      <x:c r="A154" t="str">
        <x:v>39273</x:v>
      </x:c>
      <x:c r="B154" s="17" t="n">
        <x:v>45017</x:v>
      </x:c>
      <x:c r="C154" t="str">
        <x:v>Город На Реке Тушино-2018</x:v>
      </x:c>
      <x:c r="D154" s="14" t="n">
        <x:v>0</x:v>
      </x:c>
      <x:c r="E154" s="20" t="n">
        <x:v>0</x:v>
      </x:c>
      <x:c r="F154" s="20" t="n">
        <x:v>0</x:v>
      </x:c>
      <x:c r="G154" s="20" t="n">
        <x:v>0</x:v>
      </x:c>
      <x:c r="H154" s="20" t="n">
        <x:f>E154-G154</x:f>
        <x:v>0</x:v>
      </x:c>
    </x:row>
    <x:row r="155">
      <x:c r="A155" t="str">
        <x:v>39273</x:v>
      </x:c>
      <x:c r="B155" s="17" t="n">
        <x:v>45047</x:v>
      </x:c>
      <x:c r="C155" t="str">
        <x:v>Город На Реке Тушино-2018</x:v>
      </x:c>
      <x:c r="D155" s="14" t="n">
        <x:v>0</x:v>
      </x:c>
      <x:c r="E155" s="20" t="n">
        <x:v>0</x:v>
      </x:c>
      <x:c r="F155" s="20" t="n">
        <x:v>0</x:v>
      </x:c>
      <x:c r="G155" s="20" t="n">
        <x:v>0</x:v>
      </x:c>
      <x:c r="H155" s="20" t="n">
        <x:f>E155-G155</x:f>
        <x:v>0</x:v>
      </x:c>
    </x:row>
    <x:row r="156">
      <x:c r="A156" t="str">
        <x:v>39273</x:v>
      </x:c>
      <x:c r="B156" s="17" t="n">
        <x:v>45078</x:v>
      </x:c>
      <x:c r="C156" t="str">
        <x:v>Город На Реке Тушино-2018</x:v>
      </x:c>
      <x:c r="D156" s="14" t="n">
        <x:v>0</x:v>
      </x:c>
      <x:c r="E156" s="20" t="n">
        <x:v>0</x:v>
      </x:c>
      <x:c r="F156" s="20" t="n">
        <x:v>0</x:v>
      </x:c>
      <x:c r="G156" s="20" t="n">
        <x:v>0</x:v>
      </x:c>
      <x:c r="H156" s="20" t="n">
        <x:f>E156-G156</x:f>
        <x:v>0</x:v>
      </x:c>
    </x:row>
    <x:row r="157">
      <x:c r="A157" t="str">
        <x:v>39273</x:v>
      </x:c>
      <x:c r="B157" s="17" t="n">
        <x:v>45108</x:v>
      </x:c>
      <x:c r="C157" t="str">
        <x:v>Город На Реке Тушино-2018</x:v>
      </x:c>
      <x:c r="D157" s="14" t="n">
        <x:v>0</x:v>
      </x:c>
      <x:c r="E157" s="20" t="n">
        <x:v>0</x:v>
      </x:c>
      <x:c r="F157" s="20" t="n">
        <x:v>0</x:v>
      </x:c>
      <x:c r="G157" s="20" t="n">
        <x:v>0</x:v>
      </x:c>
      <x:c r="H157" s="20" t="n">
        <x:f>E157-G157</x:f>
        <x:v>0</x:v>
      </x:c>
    </x:row>
    <x:row r="158">
      <x:c r="A158" t="str">
        <x:v>39273</x:v>
      </x:c>
      <x:c r="B158" s="17" t="n">
        <x:v>45139</x:v>
      </x:c>
      <x:c r="C158" t="str">
        <x:v>Город На Реке Тушино-2018</x:v>
      </x:c>
      <x:c r="D158" s="14" t="n">
        <x:v>0</x:v>
      </x:c>
      <x:c r="E158" s="20" t="n">
        <x:v>0</x:v>
      </x:c>
      <x:c r="F158" s="20" t="n">
        <x:v>0</x:v>
      </x:c>
      <x:c r="G158" s="20" t="n">
        <x:v>0</x:v>
      </x:c>
      <x:c r="H158" s="20" t="n">
        <x:f>E158-G158</x:f>
        <x:v>0</x:v>
      </x:c>
    </x:row>
    <x:row r="159">
      <x:c r="A159" t="str">
        <x:v>39273</x:v>
      </x:c>
      <x:c r="B159" s="17" t="n">
        <x:v>45170</x:v>
      </x:c>
      <x:c r="C159" t="str">
        <x:v>Город На Реке Тушино-2018</x:v>
      </x:c>
      <x:c r="D159" s="14" t="n">
        <x:v>0</x:v>
      </x:c>
      <x:c r="E159" s="20" t="n">
        <x:v>0</x:v>
      </x:c>
      <x:c r="F159" s="20" t="n">
        <x:v>0</x:v>
      </x:c>
      <x:c r="G159" s="20" t="n">
        <x:v>0</x:v>
      </x:c>
      <x:c r="H159" s="20" t="n">
        <x:f>E159-G159</x:f>
        <x:v>0</x:v>
      </x:c>
    </x:row>
    <x:row r="160">
      <x:c r="A160" t="str">
        <x:v>40156</x:v>
      </x:c>
      <x:c r="B160" s="17" t="n">
        <x:v>44409</x:v>
      </x:c>
      <x:c r="C160" t="str">
        <x:v>Расплетина</x:v>
      </x:c>
      <x:c r="D160" s="14" t="n">
        <x:v>0</x:v>
      </x:c>
      <x:c r="E160" s="20" t="n">
        <x:v>0</x:v>
      </x:c>
      <x:c r="F160" s="20" t="n">
        <x:v>0</x:v>
      </x:c>
      <x:c r="G160" s="20" t="n">
        <x:v>0</x:v>
      </x:c>
      <x:c r="H160" s="20" t="n">
        <x:f>E160-G160</x:f>
        <x:v>0</x:v>
      </x:c>
    </x:row>
    <x:row r="161">
      <x:c r="A161" t="str">
        <x:v>40156</x:v>
      </x:c>
      <x:c r="B161" s="17" t="n">
        <x:v>44440</x:v>
      </x:c>
      <x:c r="C161" t="str">
        <x:v>Расплетина</x:v>
      </x:c>
      <x:c r="D161" s="14" t="n">
        <x:v>0</x:v>
      </x:c>
      <x:c r="E161" s="20" t="n">
        <x:v>0</x:v>
      </x:c>
      <x:c r="F161" s="20" t="n">
        <x:v>0</x:v>
      </x:c>
      <x:c r="G161" s="20" t="n">
        <x:v>0</x:v>
      </x:c>
      <x:c r="H161" s="20" t="n">
        <x:f>E161-G161</x:f>
        <x:v>0</x:v>
      </x:c>
    </x:row>
    <x:row r="162">
      <x:c r="A162" t="str">
        <x:v>40156</x:v>
      </x:c>
      <x:c r="B162" s="17" t="n">
        <x:v>44470</x:v>
      </x:c>
      <x:c r="C162" t="str">
        <x:v>Расплетина</x:v>
      </x:c>
      <x:c r="D162" s="14" t="n">
        <x:v>0</x:v>
      </x:c>
      <x:c r="E162" s="20" t="n">
        <x:v>0</x:v>
      </x:c>
      <x:c r="F162" s="20" t="n">
        <x:v>0</x:v>
      </x:c>
      <x:c r="G162" s="20" t="n">
        <x:v>0</x:v>
      </x:c>
      <x:c r="H162" s="20" t="n">
        <x:f>E162-G162</x:f>
        <x:v>0</x:v>
      </x:c>
    </x:row>
    <x:row r="163">
      <x:c r="A163" t="str">
        <x:v>40156</x:v>
      </x:c>
      <x:c r="B163" s="17" t="n">
        <x:v>44501</x:v>
      </x:c>
      <x:c r="C163" t="str">
        <x:v>Расплетина</x:v>
      </x:c>
      <x:c r="D163" s="14" t="n">
        <x:v>0</x:v>
      </x:c>
      <x:c r="E163" s="20" t="n">
        <x:v>0</x:v>
      </x:c>
      <x:c r="F163" s="20" t="n">
        <x:v>0</x:v>
      </x:c>
      <x:c r="G163" s="20" t="n">
        <x:v>0</x:v>
      </x:c>
      <x:c r="H163" s="20" t="n">
        <x:f>E163-G163</x:f>
        <x:v>0</x:v>
      </x:c>
    </x:row>
    <x:row r="164">
      <x:c r="A164" t="str">
        <x:v>40156</x:v>
      </x:c>
      <x:c r="B164" s="17" t="n">
        <x:v>44531</x:v>
      </x:c>
      <x:c r="C164" t="str">
        <x:v>Расплетина</x:v>
      </x:c>
      <x:c r="D164" s="14" t="n">
        <x:v>0</x:v>
      </x:c>
      <x:c r="E164" s="20" t="n">
        <x:v>0</x:v>
      </x:c>
      <x:c r="F164" s="20" t="n">
        <x:v>0</x:v>
      </x:c>
      <x:c r="G164" s="20" t="n">
        <x:v>0</x:v>
      </x:c>
      <x:c r="H164" s="20" t="n">
        <x:f>E164-G164</x:f>
        <x:v>0</x:v>
      </x:c>
    </x:row>
    <x:row r="165">
      <x:c r="A165" t="str">
        <x:v>40156</x:v>
      </x:c>
      <x:c r="B165" s="17" t="n">
        <x:v>44562</x:v>
      </x:c>
      <x:c r="C165" t="str">
        <x:v>Расплетина</x:v>
      </x:c>
      <x:c r="D165" s="14" t="n">
        <x:v>0</x:v>
      </x:c>
      <x:c r="E165" s="20" t="n">
        <x:v>0</x:v>
      </x:c>
      <x:c r="F165" s="20" t="n">
        <x:v>0</x:v>
      </x:c>
      <x:c r="G165" s="20" t="n">
        <x:v>0</x:v>
      </x:c>
      <x:c r="H165" s="20" t="n">
        <x:f>E165-G165</x:f>
        <x:v>0</x:v>
      </x:c>
    </x:row>
    <x:row r="166">
      <x:c r="A166" t="str">
        <x:v>40156</x:v>
      </x:c>
      <x:c r="B166" s="17" t="n">
        <x:v>44593</x:v>
      </x:c>
      <x:c r="C166" t="str">
        <x:v>Расплетина</x:v>
      </x:c>
      <x:c r="D166" s="14" t="n">
        <x:v>158</x:v>
      </x:c>
      <x:c r="E166" s="20" t="n">
        <x:v>8959.8</x:v>
      </x:c>
      <x:c r="F166" s="20" t="n">
        <x:v>821344866</x:v>
      </x:c>
      <x:c r="G166" s="20" t="n">
        <x:v>8959.8</x:v>
      </x:c>
      <x:c r="H166" s="20" t="n">
        <x:f>E166-G166</x:f>
        <x:v>0</x:v>
      </x:c>
    </x:row>
    <x:row r="167">
      <x:c r="A167" t="str">
        <x:v>40156</x:v>
      </x:c>
      <x:c r="B167" s="17" t="n">
        <x:v>44621</x:v>
      </x:c>
      <x:c r="C167" t="str">
        <x:v>Расплетина</x:v>
      </x:c>
      <x:c r="D167" s="14" t="n">
        <x:v>0</x:v>
      </x:c>
      <x:c r="E167" s="20" t="n">
        <x:v>0</x:v>
      </x:c>
      <x:c r="F167" s="20" t="n">
        <x:v>0</x:v>
      </x:c>
      <x:c r="G167" s="20" t="n">
        <x:v>0</x:v>
      </x:c>
      <x:c r="H167" s="20" t="n">
        <x:f>E167-G167</x:f>
        <x:v>0</x:v>
      </x:c>
    </x:row>
    <x:row r="168">
      <x:c r="A168" t="str">
        <x:v>40156</x:v>
      </x:c>
      <x:c r="B168" s="17" t="n">
        <x:v>44652</x:v>
      </x:c>
      <x:c r="C168" t="str">
        <x:v>Расплетина</x:v>
      </x:c>
      <x:c r="D168" s="14" t="n">
        <x:v>0</x:v>
      </x:c>
      <x:c r="E168" s="20" t="n">
        <x:v>0</x:v>
      </x:c>
      <x:c r="F168" s="20" t="n">
        <x:v>0</x:v>
      </x:c>
      <x:c r="G168" s="20" t="n">
        <x:v>0</x:v>
      </x:c>
      <x:c r="H168" s="20" t="n">
        <x:f>E168-G168</x:f>
        <x:v>0</x:v>
      </x:c>
    </x:row>
    <x:row r="169">
      <x:c r="A169" t="str">
        <x:v>40156</x:v>
      </x:c>
      <x:c r="B169" s="17" t="n">
        <x:v>44682</x:v>
      </x:c>
      <x:c r="C169" t="str">
        <x:v>Расплетина</x:v>
      </x:c>
      <x:c r="D169" s="14" t="n">
        <x:v>0</x:v>
      </x:c>
      <x:c r="E169" s="20" t="n">
        <x:v>0</x:v>
      </x:c>
      <x:c r="F169" s="20" t="n">
        <x:v>0</x:v>
      </x:c>
      <x:c r="G169" s="20" t="n">
        <x:v>0</x:v>
      </x:c>
      <x:c r="H169" s="20" t="n">
        <x:f>E169-G169</x:f>
        <x:v>0</x:v>
      </x:c>
    </x:row>
    <x:row r="170">
      <x:c r="A170" t="str">
        <x:v>40156</x:v>
      </x:c>
      <x:c r="B170" s="17" t="n">
        <x:v>44713</x:v>
      </x:c>
      <x:c r="C170" t="str">
        <x:v>Расплетина</x:v>
      </x:c>
      <x:c r="D170" s="14" t="n">
        <x:v>0</x:v>
      </x:c>
      <x:c r="E170" s="20" t="n">
        <x:v>0</x:v>
      </x:c>
      <x:c r="F170" s="20" t="n">
        <x:v>0</x:v>
      </x:c>
      <x:c r="G170" s="20" t="n">
        <x:v>0</x:v>
      </x:c>
      <x:c r="H170" s="20" t="n">
        <x:f>E170-G170</x:f>
        <x:v>0</x:v>
      </x:c>
    </x:row>
    <x:row r="171">
      <x:c r="A171" t="str">
        <x:v>40156</x:v>
      </x:c>
      <x:c r="B171" s="17" t="n">
        <x:v>44743</x:v>
      </x:c>
      <x:c r="C171" t="str">
        <x:v>Расплетина</x:v>
      </x:c>
      <x:c r="D171" s="14" t="n">
        <x:v>0</x:v>
      </x:c>
      <x:c r="E171" s="20" t="n">
        <x:v>0</x:v>
      </x:c>
      <x:c r="F171" s="20" t="n">
        <x:v>0</x:v>
      </x:c>
      <x:c r="G171" s="20" t="n">
        <x:v>0</x:v>
      </x:c>
      <x:c r="H171" s="20" t="n">
        <x:f>E171-G171</x:f>
        <x:v>0</x:v>
      </x:c>
    </x:row>
    <x:row r="172">
      <x:c r="A172" t="str">
        <x:v>40156</x:v>
      </x:c>
      <x:c r="B172" s="17" t="n">
        <x:v>44774</x:v>
      </x:c>
      <x:c r="C172" t="str">
        <x:v>Расплетина</x:v>
      </x:c>
      <x:c r="D172" s="14" t="n">
        <x:v>0</x:v>
      </x:c>
      <x:c r="E172" s="20" t="n">
        <x:v>0</x:v>
      </x:c>
      <x:c r="F172" s="20" t="n">
        <x:v>0</x:v>
      </x:c>
      <x:c r="G172" s="20" t="n">
        <x:v>0</x:v>
      </x:c>
      <x:c r="H172" s="20" t="n">
        <x:f>E172-G172</x:f>
        <x:v>0</x:v>
      </x:c>
    </x:row>
    <x:row r="173">
      <x:c r="A173" t="str">
        <x:v>40156</x:v>
      </x:c>
      <x:c r="B173" s="17" t="n">
        <x:v>44805</x:v>
      </x:c>
      <x:c r="C173" t="str">
        <x:v>Расплетина</x:v>
      </x:c>
      <x:c r="D173" s="14" t="n">
        <x:v>0</x:v>
      </x:c>
      <x:c r="E173" s="20" t="n">
        <x:v>0</x:v>
      </x:c>
      <x:c r="F173" s="20" t="n">
        <x:v>0</x:v>
      </x:c>
      <x:c r="G173" s="20" t="n">
        <x:v>0</x:v>
      </x:c>
      <x:c r="H173" s="20" t="n">
        <x:f>E173-G173</x:f>
        <x:v>0</x:v>
      </x:c>
    </x:row>
    <x:row r="174">
      <x:c r="A174" t="str">
        <x:v>40156</x:v>
      </x:c>
      <x:c r="B174" s="17" t="n">
        <x:v>44835</x:v>
      </x:c>
      <x:c r="C174" t="str">
        <x:v>Расплетина</x:v>
      </x:c>
      <x:c r="D174" s="14" t="n">
        <x:v>0</x:v>
      </x:c>
      <x:c r="E174" s="20" t="n">
        <x:v>0</x:v>
      </x:c>
      <x:c r="F174" s="20" t="n">
        <x:v>0</x:v>
      </x:c>
      <x:c r="G174" s="20" t="n">
        <x:v>0</x:v>
      </x:c>
      <x:c r="H174" s="20" t="n">
        <x:f>E174-G174</x:f>
        <x:v>0</x:v>
      </x:c>
    </x:row>
    <x:row r="175">
      <x:c r="A175" t="str">
        <x:v>40156</x:v>
      </x:c>
      <x:c r="B175" s="17" t="n">
        <x:v>44866</x:v>
      </x:c>
      <x:c r="C175" t="str">
        <x:v>Расплетина</x:v>
      </x:c>
      <x:c r="D175" s="14" t="n">
        <x:v>0</x:v>
      </x:c>
      <x:c r="E175" s="20" t="n">
        <x:v>0</x:v>
      </x:c>
      <x:c r="F175" s="20" t="n">
        <x:v>0</x:v>
      </x:c>
      <x:c r="G175" s="20" t="n">
        <x:v>0</x:v>
      </x:c>
      <x:c r="H175" s="20" t="n">
        <x:f>E175-G175</x:f>
        <x:v>0</x:v>
      </x:c>
    </x:row>
    <x:row r="176">
      <x:c r="A176" t="str">
        <x:v>40156</x:v>
      </x:c>
      <x:c r="B176" s="17" t="n">
        <x:v>44896</x:v>
      </x:c>
      <x:c r="C176" t="str">
        <x:v>Расплетина</x:v>
      </x:c>
      <x:c r="D176" s="14" t="n">
        <x:v>0</x:v>
      </x:c>
      <x:c r="E176" s="20" t="n">
        <x:v>0</x:v>
      </x:c>
      <x:c r="F176" s="20" t="n">
        <x:v>0</x:v>
      </x:c>
      <x:c r="G176" s="20" t="n">
        <x:v>0</x:v>
      </x:c>
      <x:c r="H176" s="20" t="n">
        <x:f>E176-G176</x:f>
        <x:v>0</x:v>
      </x:c>
    </x:row>
    <x:row r="177">
      <x:c r="A177" t="str">
        <x:v>40156</x:v>
      </x:c>
      <x:c r="B177" s="17" t="n">
        <x:v>44927</x:v>
      </x:c>
      <x:c r="C177" t="str">
        <x:v>Расплетина</x:v>
      </x:c>
      <x:c r="D177" s="14" t="n">
        <x:v>0</x:v>
      </x:c>
      <x:c r="E177" s="20" t="n">
        <x:v>0</x:v>
      </x:c>
      <x:c r="F177" s="20" t="n">
        <x:v>0</x:v>
      </x:c>
      <x:c r="G177" s="20" t="n">
        <x:v>0</x:v>
      </x:c>
      <x:c r="H177" s="20" t="n">
        <x:f>E177-G177</x:f>
        <x:v>0</x:v>
      </x:c>
    </x:row>
    <x:row r="178">
      <x:c r="A178" t="str">
        <x:v>40156</x:v>
      </x:c>
      <x:c r="B178" s="17" t="n">
        <x:v>44958</x:v>
      </x:c>
      <x:c r="C178" t="str">
        <x:v>Расплетина</x:v>
      </x:c>
      <x:c r="D178" s="14" t="n">
        <x:v>0</x:v>
      </x:c>
      <x:c r="E178" s="20" t="n">
        <x:v>0</x:v>
      </x:c>
      <x:c r="F178" s="20" t="n">
        <x:v>0</x:v>
      </x:c>
      <x:c r="G178" s="20" t="n">
        <x:v>0</x:v>
      </x:c>
      <x:c r="H178" s="20" t="n">
        <x:f>E178-G178</x:f>
        <x:v>0</x:v>
      </x:c>
    </x:row>
    <x:row r="179">
      <x:c r="A179" t="str">
        <x:v>40156</x:v>
      </x:c>
      <x:c r="B179" s="17" t="n">
        <x:v>44986</x:v>
      </x:c>
      <x:c r="C179" t="str">
        <x:v>Расплетина</x:v>
      </x:c>
      <x:c r="D179" s="14" t="n">
        <x:v>0</x:v>
      </x:c>
      <x:c r="E179" s="20" t="n">
        <x:v>0</x:v>
      </x:c>
      <x:c r="F179" s="20" t="n">
        <x:v>0</x:v>
      </x:c>
      <x:c r="G179" s="20" t="n">
        <x:v>0</x:v>
      </x:c>
      <x:c r="H179" s="20" t="n">
        <x:f>E179-G179</x:f>
        <x:v>0</x:v>
      </x:c>
    </x:row>
    <x:row r="180">
      <x:c r="A180" t="str">
        <x:v>40156</x:v>
      </x:c>
      <x:c r="B180" s="17" t="n">
        <x:v>45017</x:v>
      </x:c>
      <x:c r="C180" t="str">
        <x:v>Расплетина</x:v>
      </x:c>
      <x:c r="D180" s="14" t="n">
        <x:v>0</x:v>
      </x:c>
      <x:c r="E180" s="20" t="n">
        <x:v>0</x:v>
      </x:c>
      <x:c r="F180" s="20" t="n">
        <x:v>0</x:v>
      </x:c>
      <x:c r="G180" s="20" t="n">
        <x:v>0</x:v>
      </x:c>
      <x:c r="H180" s="20" t="n">
        <x:f>E180-G180</x:f>
        <x:v>0</x:v>
      </x:c>
    </x:row>
    <x:row r="181">
      <x:c r="A181" t="str">
        <x:v>40156</x:v>
      </x:c>
      <x:c r="B181" s="17" t="n">
        <x:v>45047</x:v>
      </x:c>
      <x:c r="C181" t="str">
        <x:v>Расплетина</x:v>
      </x:c>
      <x:c r="D181" s="14" t="n">
        <x:v>0</x:v>
      </x:c>
      <x:c r="E181" s="20" t="n">
        <x:v>0</x:v>
      </x:c>
      <x:c r="F181" s="20" t="n">
        <x:v>0</x:v>
      </x:c>
      <x:c r="G181" s="20" t="n">
        <x:v>0</x:v>
      </x:c>
      <x:c r="H181" s="20" t="n">
        <x:f>E181-G181</x:f>
        <x:v>0</x:v>
      </x:c>
    </x:row>
    <x:row r="182">
      <x:c r="A182" t="str">
        <x:v>40156</x:v>
      </x:c>
      <x:c r="B182" s="17" t="n">
        <x:v>45078</x:v>
      </x:c>
      <x:c r="C182" t="str">
        <x:v>Расплетина</x:v>
      </x:c>
      <x:c r="D182" s="14" t="n">
        <x:v>0</x:v>
      </x:c>
      <x:c r="E182" s="20" t="n">
        <x:v>0</x:v>
      </x:c>
      <x:c r="F182" s="20" t="n">
        <x:v>0</x:v>
      </x:c>
      <x:c r="G182" s="20" t="n">
        <x:v>0</x:v>
      </x:c>
      <x:c r="H182" s="20" t="n">
        <x:f>E182-G182</x:f>
        <x:v>0</x:v>
      </x:c>
    </x:row>
    <x:row r="183">
      <x:c r="A183" t="str">
        <x:v>40156</x:v>
      </x:c>
      <x:c r="B183" s="17" t="n">
        <x:v>45108</x:v>
      </x:c>
      <x:c r="C183" t="str">
        <x:v>Расплетина</x:v>
      </x:c>
      <x:c r="D183" s="14" t="n">
        <x:v>0</x:v>
      </x:c>
      <x:c r="E183" s="20" t="n">
        <x:v>0</x:v>
      </x:c>
      <x:c r="F183" s="20" t="n">
        <x:v>0</x:v>
      </x:c>
      <x:c r="G183" s="20" t="n">
        <x:v>0</x:v>
      </x:c>
      <x:c r="H183" s="20" t="n">
        <x:f>E183-G183</x:f>
        <x:v>0</x:v>
      </x:c>
    </x:row>
    <x:row r="184">
      <x:c r="A184" t="str">
        <x:v>40156</x:v>
      </x:c>
      <x:c r="B184" s="17" t="n">
        <x:v>45139</x:v>
      </x:c>
      <x:c r="C184" t="str">
        <x:v>Расплетина</x:v>
      </x:c>
      <x:c r="D184" s="14" t="n">
        <x:v>0</x:v>
      </x:c>
      <x:c r="E184" s="20" t="n">
        <x:v>0</x:v>
      </x:c>
      <x:c r="F184" s="20" t="n">
        <x:v>0</x:v>
      </x:c>
      <x:c r="G184" s="20" t="n">
        <x:v>0</x:v>
      </x:c>
      <x:c r="H184" s="20" t="n">
        <x:f>E184-G184</x:f>
        <x:v>0</x:v>
      </x:c>
    </x:row>
    <x:row r="185">
      <x:c r="A185" t="str">
        <x:v>43134</x:v>
      </x:c>
      <x:c r="B185" s="17" t="n">
        <x:v>44501</x:v>
      </x:c>
      <x:c r="C185" t="str">
        <x:v>HIGH LIFE</x:v>
      </x:c>
      <x:c r="D185" s="14" t="n">
        <x:v>14</x:v>
      </x:c>
      <x:c r="E185" s="20" t="n">
        <x:v>1002.5</x:v>
      </x:c>
      <x:c r="F185" s="20" t="n">
        <x:v>420485637.57</x:v>
      </x:c>
      <x:c r="G185" s="20" t="n">
        <x:v>0</x:v>
      </x:c>
      <x:c r="H185" s="20" t="n">
        <x:f>E185-G185</x:f>
        <x:v>1002.5</x:v>
      </x:c>
    </x:row>
    <x:row r="186">
      <x:c r="A186" t="str">
        <x:v>43134</x:v>
      </x:c>
      <x:c r="B186" s="17" t="n">
        <x:v>44531</x:v>
      </x:c>
      <x:c r="C186" t="str">
        <x:v>HIGH LIFE</x:v>
      </x:c>
      <x:c r="D186" s="14" t="n">
        <x:v>61</x:v>
      </x:c>
      <x:c r="E186" s="20" t="n">
        <x:v>4566.6</x:v>
      </x:c>
      <x:c r="F186" s="20" t="n">
        <x:v>1573499371.92</x:v>
      </x:c>
      <x:c r="G186" s="20" t="n">
        <x:v>0</x:v>
      </x:c>
      <x:c r="H186" s="20" t="n">
        <x:f>E186-G186</x:f>
        <x:v>4566.6</x:v>
      </x:c>
    </x:row>
    <x:row r="187">
      <x:c r="A187" t="str">
        <x:v>43134</x:v>
      </x:c>
      <x:c r="B187" s="17" t="n">
        <x:v>44562</x:v>
      </x:c>
      <x:c r="C187" t="str">
        <x:v>HIGH LIFE</x:v>
      </x:c>
      <x:c r="D187" s="14" t="n">
        <x:v>5</x:v>
      </x:c>
      <x:c r="E187" s="20" t="n">
        <x:v>437.8</x:v>
      </x:c>
      <x:c r="F187" s="20" t="n">
        <x:v>207409151.14</x:v>
      </x:c>
      <x:c r="G187" s="20" t="n">
        <x:v>0</x:v>
      </x:c>
      <x:c r="H187" s="20" t="n">
        <x:f>E187-G187</x:f>
        <x:v>437.8</x:v>
      </x:c>
    </x:row>
    <x:row r="188">
      <x:c r="A188" t="str">
        <x:v>43134</x:v>
      </x:c>
      <x:c r="B188" s="17" t="n">
        <x:v>44593</x:v>
      </x:c>
      <x:c r="C188" t="str">
        <x:v>HIGH LIFE</x:v>
      </x:c>
      <x:c r="D188" s="14" t="n">
        <x:v>3</x:v>
      </x:c>
      <x:c r="E188" s="20" t="n">
        <x:v>326.6</x:v>
      </x:c>
      <x:c r="F188" s="20" t="n">
        <x:v>142044333.02</x:v>
      </x:c>
      <x:c r="G188" s="20" t="n">
        <x:v>120.3</x:v>
      </x:c>
      <x:c r="H188" s="20" t="n">
        <x:f>E188-G188</x:f>
        <x:v>206.3</x:v>
      </x:c>
    </x:row>
    <x:row r="189">
      <x:c r="A189" t="str">
        <x:v>43134</x:v>
      </x:c>
      <x:c r="B189" s="17" t="n">
        <x:v>44621</x:v>
      </x:c>
      <x:c r="C189" t="str">
        <x:v>HIGH LIFE</x:v>
      </x:c>
      <x:c r="D189" s="14" t="n">
        <x:v>0</x:v>
      </x:c>
      <x:c r="E189" s="20" t="n">
        <x:v>0</x:v>
      </x:c>
      <x:c r="F189" s="20" t="n">
        <x:v>0</x:v>
      </x:c>
      <x:c r="G189" s="20" t="n">
        <x:v>0</x:v>
      </x:c>
      <x:c r="H189" s="20" t="n">
        <x:f>E189-G189</x:f>
        <x:v>0</x:v>
      </x:c>
    </x:row>
    <x:row r="190">
      <x:c r="A190" t="str">
        <x:v>43134</x:v>
      </x:c>
      <x:c r="B190" s="17" t="n">
        <x:v>44652</x:v>
      </x:c>
      <x:c r="C190" t="str">
        <x:v>HIGH LIFE</x:v>
      </x:c>
      <x:c r="D190" s="14" t="n">
        <x:v>0</x:v>
      </x:c>
      <x:c r="E190" s="20" t="n">
        <x:v>0</x:v>
      </x:c>
      <x:c r="F190" s="20" t="n">
        <x:v>0</x:v>
      </x:c>
      <x:c r="G190" s="20" t="n">
        <x:v>0</x:v>
      </x:c>
      <x:c r="H190" s="20" t="n">
        <x:f>E190-G190</x:f>
        <x:v>0</x:v>
      </x:c>
    </x:row>
    <x:row r="191">
      <x:c r="A191" t="str">
        <x:v>43134</x:v>
      </x:c>
      <x:c r="B191" s="17" t="n">
        <x:v>44682</x:v>
      </x:c>
      <x:c r="C191" t="str">
        <x:v>HIGH LIFE</x:v>
      </x:c>
      <x:c r="D191" s="14" t="n">
        <x:v>0</x:v>
      </x:c>
      <x:c r="E191" s="20" t="n">
        <x:v>0</x:v>
      </x:c>
      <x:c r="F191" s="20" t="n">
        <x:v>0</x:v>
      </x:c>
      <x:c r="G191" s="20" t="n">
        <x:v>0</x:v>
      </x:c>
      <x:c r="H191" s="20" t="n">
        <x:f>E191-G191</x:f>
        <x:v>0</x:v>
      </x:c>
    </x:row>
    <x:row r="192">
      <x:c r="A192" t="str">
        <x:v>43134</x:v>
      </x:c>
      <x:c r="B192" s="17" t="n">
        <x:v>44713</x:v>
      </x:c>
      <x:c r="C192" t="str">
        <x:v>HIGH LIFE</x:v>
      </x:c>
      <x:c r="D192" s="14" t="n">
        <x:v>1</x:v>
      </x:c>
      <x:c r="E192" s="20" t="n">
        <x:v>51.3</x:v>
      </x:c>
      <x:c r="F192" s="20" t="n">
        <x:v>18440835.8</x:v>
      </x:c>
      <x:c r="G192" s="20" t="n">
        <x:v>0</x:v>
      </x:c>
      <x:c r="H192" s="20" t="n">
        <x:f>E192-G192</x:f>
        <x:v>51.3</x:v>
      </x:c>
    </x:row>
    <x:row r="193">
      <x:c r="A193" t="str">
        <x:v>43134</x:v>
      </x:c>
      <x:c r="B193" s="17" t="n">
        <x:v>44743</x:v>
      </x:c>
      <x:c r="C193" t="str">
        <x:v>HIGH LIFE</x:v>
      </x:c>
      <x:c r="D193" s="14" t="n">
        <x:v>2</x:v>
      </x:c>
      <x:c r="E193" s="20" t="n">
        <x:v>132.3</x:v>
      </x:c>
      <x:c r="F193" s="20" t="n">
        <x:v>68060391.57</x:v>
      </x:c>
      <x:c r="G193" s="20" t="n">
        <x:v>0</x:v>
      </x:c>
      <x:c r="H193" s="20" t="n">
        <x:f>E193-G193</x:f>
        <x:v>132.3</x:v>
      </x:c>
    </x:row>
    <x:row r="194">
      <x:c r="A194" t="str">
        <x:v>43134</x:v>
      </x:c>
      <x:c r="B194" s="17" t="n">
        <x:v>44774</x:v>
      </x:c>
      <x:c r="C194" t="str">
        <x:v>HIGH LIFE</x:v>
      </x:c>
      <x:c r="D194" s="14" t="n">
        <x:v>2</x:v>
      </x:c>
      <x:c r="E194" s="20" t="n">
        <x:v>107.2</x:v>
      </x:c>
      <x:c r="F194" s="20" t="n">
        <x:v>62521009.98</x:v>
      </x:c>
      <x:c r="G194" s="20" t="n">
        <x:v>0</x:v>
      </x:c>
      <x:c r="H194" s="20" t="n">
        <x:f>E194-G194</x:f>
        <x:v>107.2</x:v>
      </x:c>
    </x:row>
    <x:row r="195">
      <x:c r="A195" t="str">
        <x:v>43134</x:v>
      </x:c>
      <x:c r="B195" s="17" t="n">
        <x:v>44805</x:v>
      </x:c>
      <x:c r="C195" t="str">
        <x:v>HIGH LIFE</x:v>
      </x:c>
      <x:c r="D195" s="14" t="n">
        <x:v>1</x:v>
      </x:c>
      <x:c r="E195" s="20" t="n">
        <x:v>74.2</x:v>
      </x:c>
      <x:c r="F195" s="20" t="n">
        <x:v>31453583.69</x:v>
      </x:c>
      <x:c r="G195" s="20" t="n">
        <x:v>0</x:v>
      </x:c>
      <x:c r="H195" s="20" t="n">
        <x:f>E195-G195</x:f>
        <x:v>74.2</x:v>
      </x:c>
    </x:row>
    <x:row r="196">
      <x:c r="A196" t="str">
        <x:v>43134</x:v>
      </x:c>
      <x:c r="B196" s="17" t="n">
        <x:v>44835</x:v>
      </x:c>
      <x:c r="C196" t="str">
        <x:v>HIGH LIFE</x:v>
      </x:c>
      <x:c r="D196" s="14" t="n">
        <x:v>1</x:v>
      </x:c>
      <x:c r="E196" s="20" t="n">
        <x:v>51.4</x:v>
      </x:c>
      <x:c r="F196" s="20" t="n">
        <x:v>20627752</x:v>
      </x:c>
      <x:c r="G196" s="20" t="n">
        <x:v>225.5</x:v>
      </x:c>
      <x:c r="H196" s="20" t="n">
        <x:f>E196-G196</x:f>
        <x:v>-174.1</x:v>
      </x:c>
    </x:row>
    <x:row r="197">
      <x:c r="A197" t="str">
        <x:v>43134</x:v>
      </x:c>
      <x:c r="B197" s="17" t="n">
        <x:v>44866</x:v>
      </x:c>
      <x:c r="C197" t="str">
        <x:v>HIGH LIFE</x:v>
      </x:c>
      <x:c r="D197" s="14" t="n">
        <x:v>0</x:v>
      </x:c>
      <x:c r="E197" s="20" t="n">
        <x:v>0</x:v>
      </x:c>
      <x:c r="F197" s="20" t="n">
        <x:v>0</x:v>
      </x:c>
      <x:c r="G197" s="20" t="n">
        <x:v>0</x:v>
      </x:c>
      <x:c r="H197" s="20" t="n">
        <x:f>E197-G197</x:f>
        <x:v>0</x:v>
      </x:c>
    </x:row>
    <x:row r="198">
      <x:c r="A198" t="str">
        <x:v>43134</x:v>
      </x:c>
      <x:c r="B198" s="17" t="n">
        <x:v>44896</x:v>
      </x:c>
      <x:c r="C198" t="str">
        <x:v>HIGH LIFE</x:v>
      </x:c>
      <x:c r="D198" s="14" t="n">
        <x:v>4</x:v>
      </x:c>
      <x:c r="E198" s="20" t="n">
        <x:v>346.9</x:v>
      </x:c>
      <x:c r="F198" s="20" t="n">
        <x:v>169418438.68</x:v>
      </x:c>
      <x:c r="G198" s="20" t="n">
        <x:v>0</x:v>
      </x:c>
      <x:c r="H198" s="20" t="n">
        <x:f>E198-G198</x:f>
        <x:v>346.9</x:v>
      </x:c>
    </x:row>
    <x:row r="199">
      <x:c r="A199" t="str">
        <x:v>43134</x:v>
      </x:c>
      <x:c r="B199" s="17" t="n">
        <x:v>44927</x:v>
      </x:c>
      <x:c r="C199" t="str">
        <x:v>HIGH LIFE</x:v>
      </x:c>
      <x:c r="D199" s="14" t="n">
        <x:v>0</x:v>
      </x:c>
      <x:c r="E199" s="20" t="n">
        <x:v>0</x:v>
      </x:c>
      <x:c r="F199" s="20" t="n">
        <x:v>0</x:v>
      </x:c>
      <x:c r="G199" s="20" t="n">
        <x:v>0</x:v>
      </x:c>
      <x:c r="H199" s="20" t="n">
        <x:f>E199-G199</x:f>
        <x:v>0</x:v>
      </x:c>
    </x:row>
    <x:row r="200">
      <x:c r="A200" t="str">
        <x:v>43134</x:v>
      </x:c>
      <x:c r="B200" s="17" t="n">
        <x:v>44958</x:v>
      </x:c>
      <x:c r="C200" t="str">
        <x:v>HIGH LIFE</x:v>
      </x:c>
      <x:c r="D200" s="14" t="n">
        <x:v>1</x:v>
      </x:c>
      <x:c r="E200" s="20" t="n">
        <x:v>121.6</x:v>
      </x:c>
      <x:c r="F200" s="20" t="n">
        <x:v>49575126.77</x:v>
      </x:c>
      <x:c r="G200" s="20" t="n">
        <x:v>0</x:v>
      </x:c>
      <x:c r="H200" s="20" t="n">
        <x:f>E200-G200</x:f>
        <x:v>121.6</x:v>
      </x:c>
    </x:row>
    <x:row r="201">
      <x:c r="A201" t="str">
        <x:v>43134</x:v>
      </x:c>
      <x:c r="B201" s="17" t="n">
        <x:v>44986</x:v>
      </x:c>
      <x:c r="C201" t="str">
        <x:v>HIGH LIFE</x:v>
      </x:c>
      <x:c r="D201" s="14" t="n">
        <x:v>3</x:v>
      </x:c>
      <x:c r="E201" s="20" t="n">
        <x:v>328</x:v>
      </x:c>
      <x:c r="F201" s="20" t="n">
        <x:v>156542612.92</x:v>
      </x:c>
      <x:c r="G201" s="20" t="n">
        <x:v>0</x:v>
      </x:c>
      <x:c r="H201" s="20" t="n">
        <x:f>E201-G201</x:f>
        <x:v>328</x:v>
      </x:c>
    </x:row>
    <x:row r="202">
      <x:c r="A202" t="str">
        <x:v>43134</x:v>
      </x:c>
      <x:c r="B202" s="17" t="n">
        <x:v>45017</x:v>
      </x:c>
      <x:c r="C202" t="str">
        <x:v>HIGH LIFE</x:v>
      </x:c>
      <x:c r="D202" s="14" t="n">
        <x:v>4</x:v>
      </x:c>
      <x:c r="E202" s="20" t="n">
        <x:v>237.3</x:v>
      </x:c>
      <x:c r="F202" s="20" t="n">
        <x:v>135533539.23</x:v>
      </x:c>
      <x:c r="G202" s="20" t="n">
        <x:v>0</x:v>
      </x:c>
      <x:c r="H202" s="20" t="n">
        <x:f>E202-G202</x:f>
        <x:v>237.3</x:v>
      </x:c>
    </x:row>
    <x:row r="203">
      <x:c r="A203" t="str">
        <x:v>43134</x:v>
      </x:c>
      <x:c r="B203" s="17" t="n">
        <x:v>45047</x:v>
      </x:c>
      <x:c r="C203" t="str">
        <x:v>HIGH LIFE</x:v>
      </x:c>
      <x:c r="D203" s="14" t="n">
        <x:v>2</x:v>
      </x:c>
      <x:c r="E203" s="20" t="n">
        <x:v>177.2</x:v>
      </x:c>
      <x:c r="F203" s="20" t="n">
        <x:v>85678367.16</x:v>
      </x:c>
      <x:c r="G203" s="20" t="n">
        <x:v>0</x:v>
      </x:c>
      <x:c r="H203" s="20" t="n">
        <x:f>E203-G203</x:f>
        <x:v>177.2</x:v>
      </x:c>
    </x:row>
    <x:row r="204">
      <x:c r="A204" t="str">
        <x:v>43134</x:v>
      </x:c>
      <x:c r="B204" s="17" t="n">
        <x:v>45078</x:v>
      </x:c>
      <x:c r="C204" t="str">
        <x:v>HIGH LIFE</x:v>
      </x:c>
      <x:c r="D204" s="14" t="n">
        <x:v>0</x:v>
      </x:c>
      <x:c r="E204" s="20" t="n">
        <x:v>0</x:v>
      </x:c>
      <x:c r="F204" s="20" t="n">
        <x:v>0</x:v>
      </x:c>
      <x:c r="G204" s="20" t="n">
        <x:v>0</x:v>
      </x:c>
      <x:c r="H204" s="20" t="n">
        <x:f>E204-G204</x:f>
        <x:v>0</x:v>
      </x:c>
    </x:row>
    <x:row r="205">
      <x:c r="A205" t="str">
        <x:v>43134</x:v>
      </x:c>
      <x:c r="B205" s="17" t="n">
        <x:v>45108</x:v>
      </x:c>
      <x:c r="C205" t="str">
        <x:v>HIGH LIFE</x:v>
      </x:c>
      <x:c r="D205" s="14" t="n">
        <x:v>3</x:v>
      </x:c>
      <x:c r="E205" s="20" t="n">
        <x:v>312.4</x:v>
      </x:c>
      <x:c r="F205" s="20" t="n">
        <x:v>153907803.31</x:v>
      </x:c>
      <x:c r="G205" s="20" t="n">
        <x:v>0</x:v>
      </x:c>
      <x:c r="H205" s="20" t="n">
        <x:f>E205-G205</x:f>
        <x:v>312.4</x:v>
      </x:c>
    </x:row>
    <x:row r="206">
      <x:c r="A206" t="str">
        <x:v>43134</x:v>
      </x:c>
      <x:c r="B206" s="17" t="n">
        <x:v>45139</x:v>
      </x:c>
      <x:c r="C206" t="str">
        <x:v>HIGH LIFE</x:v>
      </x:c>
      <x:c r="D206" s="14" t="n">
        <x:v>2</x:v>
      </x:c>
      <x:c r="E206" s="20" t="n">
        <x:v>207.7</x:v>
      </x:c>
      <x:c r="F206" s="20" t="n">
        <x:v>95449875.77</x:v>
      </x:c>
      <x:c r="G206" s="20" t="n">
        <x:v>0</x:v>
      </x:c>
      <x:c r="H206" s="20" t="n">
        <x:f>E206-G206</x:f>
        <x:v>207.7</x:v>
      </x:c>
    </x:row>
    <x:row r="207">
      <x:c r="A207" t="str">
        <x:v>43134</x:v>
      </x:c>
      <x:c r="B207" s="17" t="n">
        <x:v>45170</x:v>
      </x:c>
      <x:c r="C207" t="str">
        <x:v>HIGH LIFE</x:v>
      </x:c>
      <x:c r="D207" s="14" t="n">
        <x:v>2</x:v>
      </x:c>
      <x:c r="E207" s="20" t="n">
        <x:v>151.8</x:v>
      </x:c>
      <x:c r="F207" s="20" t="n">
        <x:v>73763619.89</x:v>
      </x:c>
      <x:c r="G207" s="20" t="n">
        <x:v>0</x:v>
      </x:c>
      <x:c r="H207" s="20" t="n">
        <x:f>E207-G207</x:f>
        <x:v>151.8</x:v>
      </x:c>
    </x:row>
    <x:row r="208">
      <x:c r="A208" t="str">
        <x:v>43134</x:v>
      </x:c>
      <x:c r="B208" s="17" t="n">
        <x:v>45200</x:v>
      </x:c>
      <x:c r="C208" t="str">
        <x:v>HIGH LIFE</x:v>
      </x:c>
      <x:c r="D208" s="14" t="n">
        <x:v>4</x:v>
      </x:c>
      <x:c r="E208" s="20" t="n">
        <x:v>340.6</x:v>
      </x:c>
      <x:c r="F208" s="20" t="n">
        <x:v>175611583.7</x:v>
      </x:c>
      <x:c r="G208" s="20" t="n">
        <x:v>0</x:v>
      </x:c>
      <x:c r="H208" s="20" t="n">
        <x:f>E208-G208</x:f>
        <x:v>340.6</x:v>
      </x:c>
    </x:row>
    <x:row r="209">
      <x:c r="A209" t="str">
        <x:v>43134</x:v>
      </x:c>
      <x:c r="B209" s="17" t="n">
        <x:v>45231</x:v>
      </x:c>
      <x:c r="C209" t="str">
        <x:v>HIGH LIFE</x:v>
      </x:c>
      <x:c r="D209" s="14" t="n">
        <x:v>1</x:v>
      </x:c>
      <x:c r="E209" s="20" t="n">
        <x:v>50</x:v>
      </x:c>
      <x:c r="F209" s="20" t="n">
        <x:v>27675375</x:v>
      </x:c>
      <x:c r="G209" s="20" t="n">
        <x:v>0</x:v>
      </x:c>
      <x:c r="H209" s="20" t="n">
        <x:f>E209-G209</x:f>
        <x:v>50</x:v>
      </x:c>
    </x:row>
    <x:row r="210">
      <x:c r="A210" t="str">
        <x:v>43134</x:v>
      </x:c>
      <x:c r="B210" s="17" t="n">
        <x:v>45261</x:v>
      </x:c>
      <x:c r="C210" t="str">
        <x:v>HIGH LIFE</x:v>
      </x:c>
      <x:c r="D210" s="14" t="n">
        <x:v>3</x:v>
      </x:c>
      <x:c r="E210" s="20" t="n">
        <x:v>310.2</x:v>
      </x:c>
      <x:c r="F210" s="20" t="n">
        <x:v>176033658.86</x:v>
      </x:c>
      <x:c r="G210" s="20" t="n">
        <x:v>0</x:v>
      </x:c>
      <x:c r="H210" s="20" t="n">
        <x:f>E210-G210</x:f>
        <x:v>310.2</x:v>
      </x:c>
    </x:row>
    <x:row r="211">
      <x:c r="A211" t="str">
        <x:v>43134</x:v>
      </x:c>
      <x:c r="B211" s="17" t="n">
        <x:v>45292</x:v>
      </x:c>
      <x:c r="C211" t="str">
        <x:v>HIGH LIFE</x:v>
      </x:c>
      <x:c r="D211" s="14" t="n">
        <x:v>0</x:v>
      </x:c>
      <x:c r="E211" s="20" t="n">
        <x:v>0</x:v>
      </x:c>
      <x:c r="F211" s="20" t="n">
        <x:v>0</x:v>
      </x:c>
      <x:c r="G211" s="20" t="n">
        <x:v>0</x:v>
      </x:c>
      <x:c r="H211" s="20" t="n">
        <x:f>E211-G211</x:f>
        <x:v>0</x:v>
      </x:c>
    </x:row>
    <x:row r="212">
      <x:c r="A212" t="str">
        <x:v>43134</x:v>
      </x:c>
      <x:c r="B212" s="17" t="n">
        <x:v>45323</x:v>
      </x:c>
      <x:c r="C212" t="str">
        <x:v>HIGH LIFE</x:v>
      </x:c>
      <x:c r="D212" s="14" t="n">
        <x:v>1</x:v>
      </x:c>
      <x:c r="E212" s="20" t="n">
        <x:v>143.7</x:v>
      </x:c>
      <x:c r="F212" s="20" t="n">
        <x:v>96796217.05</x:v>
      </x:c>
      <x:c r="G212" s="20" t="n">
        <x:v>0</x:v>
      </x:c>
      <x:c r="H212" s="20" t="n">
        <x:f>E212-G212</x:f>
        <x:v>143.7</x:v>
      </x:c>
    </x:row>
    <x:row r="213">
      <x:c r="A213" t="str">
        <x:v>43134</x:v>
      </x:c>
      <x:c r="B213" s="17" t="n">
        <x:v>45352</x:v>
      </x:c>
      <x:c r="C213" t="str">
        <x:v>HIGH LIFE</x:v>
      </x:c>
      <x:c r="D213" s="14" t="n">
        <x:v>1</x:v>
      </x:c>
      <x:c r="E213" s="20" t="n">
        <x:v>193.4</x:v>
      </x:c>
      <x:c r="F213" s="20" t="n">
        <x:v>52487746.83</x:v>
      </x:c>
      <x:c r="G213" s="20" t="n">
        <x:v>0</x:v>
      </x:c>
      <x:c r="H213" s="20" t="n">
        <x:f>E213-G213</x:f>
        <x:v>193.4</x:v>
      </x:c>
    </x:row>
    <x:row r="214">
      <x:c r="A214" t="str">
        <x:v>43134</x:v>
      </x:c>
      <x:c r="B214" s="17" t="n">
        <x:v>45383</x:v>
      </x:c>
      <x:c r="C214" t="str">
        <x:v>HIGH LIFE</x:v>
      </x:c>
      <x:c r="D214" s="14" t="n">
        <x:v>4</x:v>
      </x:c>
      <x:c r="E214" s="20" t="n">
        <x:v>445.8</x:v>
      </x:c>
      <x:c r="F214" s="20" t="n">
        <x:v>260706284.63</x:v>
      </x:c>
      <x:c r="G214" s="20" t="n">
        <x:v>55.5</x:v>
      </x:c>
      <x:c r="H214" s="20" t="n">
        <x:f>E214-G214</x:f>
        <x:v>390.3</x:v>
      </x:c>
    </x:row>
    <x:row r="215">
      <x:c r="A215" t="str">
        <x:v>43134</x:v>
      </x:c>
      <x:c r="B215" s="17" t="n">
        <x:v>45413</x:v>
      </x:c>
      <x:c r="C215" t="str">
        <x:v>HIGH LIFE</x:v>
      </x:c>
      <x:c r="D215" s="14" t="n">
        <x:v>7</x:v>
      </x:c>
      <x:c r="E215" s="20" t="n">
        <x:v>784.5</x:v>
      </x:c>
      <x:c r="F215" s="20" t="n">
        <x:v>455950222.99</x:v>
      </x:c>
      <x:c r="G215" s="20" t="n">
        <x:v>0</x:v>
      </x:c>
      <x:c r="H215" s="20" t="n">
        <x:f>E215-G215</x:f>
        <x:v>784.5</x:v>
      </x:c>
    </x:row>
    <x:row r="216">
      <x:c r="A216" t="str">
        <x:v>43134</x:v>
      </x:c>
      <x:c r="B216" s="17" t="n">
        <x:v>45444</x:v>
      </x:c>
      <x:c r="C216" t="str">
        <x:v>HIGH LIFE</x:v>
      </x:c>
      <x:c r="D216" s="14" t="n">
        <x:v>3</x:v>
      </x:c>
      <x:c r="E216" s="20" t="n">
        <x:v>336</x:v>
      </x:c>
      <x:c r="F216" s="20" t="n">
        <x:v>214567068.22</x:v>
      </x:c>
      <x:c r="G216" s="20" t="n">
        <x:v>0</x:v>
      </x:c>
      <x:c r="H216" s="20" t="n">
        <x:f>E216-G216</x:f>
        <x:v>336</x:v>
      </x:c>
    </x:row>
    <x:row r="217">
      <x:c r="A217" t="str">
        <x:v>43134</x:v>
      </x:c>
      <x:c r="B217" s="17" t="n">
        <x:v>45474</x:v>
      </x:c>
      <x:c r="C217" t="str">
        <x:v>HIGH LIFE</x:v>
      </x:c>
      <x:c r="D217" s="14" t="n">
        <x:v>2</x:v>
      </x:c>
      <x:c r="E217" s="20" t="n">
        <x:v>245</x:v>
      </x:c>
      <x:c r="F217" s="20" t="n">
        <x:v>158550733</x:v>
      </x:c>
      <x:c r="G217" s="20" t="n">
        <x:v>0</x:v>
      </x:c>
      <x:c r="H217" s="20" t="n">
        <x:f>E217-G217</x:f>
        <x:v>245</x:v>
      </x:c>
    </x:row>
    <x:row r="218">
      <x:c r="A218" t="str">
        <x:v>43134</x:v>
      </x:c>
      <x:c r="B218" s="17" t="n">
        <x:v>45505</x:v>
      </x:c>
      <x:c r="C218" t="str">
        <x:v>HIGH LIFE</x:v>
      </x:c>
      <x:c r="D218" s="14" t="n">
        <x:v>3</x:v>
      </x:c>
      <x:c r="E218" s="20" t="n">
        <x:v>306.2</x:v>
      </x:c>
      <x:c r="F218" s="20" t="n">
        <x:v>187815246.5</x:v>
      </x:c>
      <x:c r="G218" s="20" t="n">
        <x:v>0</x:v>
      </x:c>
      <x:c r="H218" s="20" t="n">
        <x:f>E218-G218</x:f>
        <x:v>306.2</x:v>
      </x:c>
    </x:row>
    <x:row r="219">
      <x:c r="A219" t="str">
        <x:v>43134</x:v>
      </x:c>
      <x:c r="B219" s="17" t="n">
        <x:v>45536</x:v>
      </x:c>
      <x:c r="C219" t="str">
        <x:v>HIGH LIFE</x:v>
      </x:c>
      <x:c r="D219" s="14" t="n">
        <x:v>21</x:v>
      </x:c>
      <x:c r="E219" s="20" t="n">
        <x:v>1392.8</x:v>
      </x:c>
      <x:c r="F219" s="20" t="n">
        <x:v>760034849.5</x:v>
      </x:c>
      <x:c r="G219" s="20" t="n">
        <x:v>0</x:v>
      </x:c>
      <x:c r="H219" s="20" t="n">
        <x:f>E219-G219</x:f>
        <x:v>1392.8</x:v>
      </x:c>
    </x:row>
    <x:row r="220">
      <x:c r="A220" t="str">
        <x:v>43134</x:v>
      </x:c>
      <x:c r="B220" s="17" t="n">
        <x:v>45566</x:v>
      </x:c>
      <x:c r="C220" t="str">
        <x:v>HIGH LIFE</x:v>
      </x:c>
      <x:c r="D220" s="14" t="n">
        <x:v>9</x:v>
      </x:c>
      <x:c r="E220" s="20" t="n">
        <x:v>805.4</x:v>
      </x:c>
      <x:c r="F220" s="20" t="n">
        <x:v>450727203.34</x:v>
      </x:c>
      <x:c r="G220" s="20" t="n">
        <x:v>0</x:v>
      </x:c>
      <x:c r="H220" s="20" t="n">
        <x:f>E220-G220</x:f>
        <x:v>805.4</x:v>
      </x:c>
    </x:row>
    <x:row r="221">
      <x:c r="A221" t="str">
        <x:v>43134</x:v>
      </x:c>
      <x:c r="B221" s="17" t="n">
        <x:v>45597</x:v>
      </x:c>
      <x:c r="C221" t="str">
        <x:v>HIGH LIFE</x:v>
      </x:c>
      <x:c r="D221" s="14" t="n">
        <x:v>7</x:v>
      </x:c>
      <x:c r="E221" s="20" t="n">
        <x:v>893.6</x:v>
      </x:c>
      <x:c r="F221" s="20" t="n">
        <x:v>486621749.88</x:v>
      </x:c>
      <x:c r="G221" s="20" t="n">
        <x:v>0</x:v>
      </x:c>
      <x:c r="H221" s="20" t="n">
        <x:f>E221-G221</x:f>
        <x:v>893.6</x:v>
      </x:c>
    </x:row>
    <x:row r="222">
      <x:c r="A222" t="str">
        <x:v>43134</x:v>
      </x:c>
      <x:c r="B222" s="17" t="n">
        <x:v>45627</x:v>
      </x:c>
      <x:c r="C222" t="str">
        <x:v>HIGH LIFE</x:v>
      </x:c>
      <x:c r="D222" s="14" t="n">
        <x:v>12</x:v>
      </x:c>
      <x:c r="E222" s="20" t="n">
        <x:v>1297.7</x:v>
      </x:c>
      <x:c r="F222" s="20" t="n">
        <x:v>650806825.95</x:v>
      </x:c>
      <x:c r="G222" s="20" t="n">
        <x:v>0</x:v>
      </x:c>
      <x:c r="H222" s="20" t="n">
        <x:f>E222-G222</x:f>
        <x:v>1297.7</x:v>
      </x:c>
    </x:row>
    <x:row r="223">
      <x:c r="A223" t="str">
        <x:v>43134</x:v>
      </x:c>
      <x:c r="B223" s="17" t="n">
        <x:v>45658</x:v>
      </x:c>
      <x:c r="C223" t="str">
        <x:v>HIGH LIFE</x:v>
      </x:c>
      <x:c r="D223" s="14" t="n">
        <x:v>4</x:v>
      </x:c>
      <x:c r="E223" s="20" t="n">
        <x:v>368.4</x:v>
      </x:c>
      <x:c r="F223" s="20" t="n">
        <x:v>205912835.05</x:v>
      </x:c>
      <x:c r="G223" s="20" t="n">
        <x:v>0</x:v>
      </x:c>
      <x:c r="H223" s="20" t="n">
        <x:f>E223-G223</x:f>
        <x:v>368.4</x:v>
      </x:c>
    </x:row>
    <x:row r="224">
      <x:c r="A224" t="str">
        <x:v>43134</x:v>
      </x:c>
      <x:c r="B224" s="17" t="n">
        <x:v>45689</x:v>
      </x:c>
      <x:c r="C224" t="str">
        <x:v>HIGH LIFE</x:v>
      </x:c>
      <x:c r="D224" s="14" t="n">
        <x:v>4</x:v>
      </x:c>
      <x:c r="E224" s="20" t="n">
        <x:v>476</x:v>
      </x:c>
      <x:c r="F224" s="20" t="n">
        <x:v>265408696.15</x:v>
      </x:c>
      <x:c r="G224" s="20" t="n">
        <x:v>0</x:v>
      </x:c>
      <x:c r="H224" s="20" t="n">
        <x:f>E224-G224</x:f>
        <x:v>476</x:v>
      </x:c>
    </x:row>
    <x:row r="225">
      <x:c r="A225" t="str">
        <x:v>43134</x:v>
      </x:c>
      <x:c r="B225" s="17" t="n">
        <x:v>45717</x:v>
      </x:c>
      <x:c r="C225" t="str">
        <x:v>HIGH LIFE</x:v>
      </x:c>
      <x:c r="D225" s="14" t="n">
        <x:v>324</x:v>
      </x:c>
      <x:c r="E225" s="20" t="n">
        <x:v>27180</x:v>
      </x:c>
      <x:c r="F225" s="20" t="n">
        <x:v>14472197915.29</x:v>
      </x:c>
      <x:c r="G225" s="20" t="n">
        <x:v>0</x:v>
      </x:c>
      <x:c r="H225" s="20" t="n">
        <x:f>E225-G225</x:f>
        <x:v>27180</x:v>
      </x:c>
    </x:row>
    <x:row r="226">
      <x:c r="A226" t="str">
        <x:v>43134</x:v>
      </x:c>
      <x:c r="B226" s="17" t="n">
        <x:v>45748</x:v>
      </x:c>
      <x:c r="C226" t="str">
        <x:v>HIGH LIFE</x:v>
      </x:c>
      <x:c r="D226" s="14" t="n">
        <x:v>12</x:v>
      </x:c>
      <x:c r="E226" s="20" t="n">
        <x:v>1295.8</x:v>
      </x:c>
      <x:c r="F226" s="20" t="n">
        <x:v>921481153.75</x:v>
      </x:c>
      <x:c r="G226" s="20" t="n">
        <x:v>0</x:v>
      </x:c>
      <x:c r="H226" s="20" t="n">
        <x:f>E226-G226</x:f>
        <x:v>1295.8</x:v>
      </x:c>
    </x:row>
    <x:row r="227">
      <x:c r="A227" t="str">
        <x:v>43185</x:v>
      </x:c>
      <x:c r="B227" s="17" t="n">
        <x:v>44440</x:v>
      </x:c>
      <x:c r="C227" t="str">
        <x:v>Зеленая Вертикаль</x:v>
      </x:c>
      <x:c r="D227" s="14" t="n">
        <x:v>134</x:v>
      </x:c>
      <x:c r="E227" s="20" t="n">
        <x:v>7121.7</x:v>
      </x:c>
      <x:c r="F227" s="20" t="n">
        <x:v>1377661100</x:v>
      </x:c>
      <x:c r="G227" s="20" t="n">
        <x:v>0</x:v>
      </x:c>
      <x:c r="H227" s="20" t="n">
        <x:f>E227-G227</x:f>
        <x:v>7121.7</x:v>
      </x:c>
    </x:row>
    <x:row r="228">
      <x:c r="A228" t="str">
        <x:v>43185</x:v>
      </x:c>
      <x:c r="B228" s="17" t="n">
        <x:v>44470</x:v>
      </x:c>
      <x:c r="C228" t="str">
        <x:v>Зеленая Вертикаль</x:v>
      </x:c>
      <x:c r="D228" s="14" t="n">
        <x:v>7</x:v>
      </x:c>
      <x:c r="E228" s="20" t="n">
        <x:v>477</x:v>
      </x:c>
      <x:c r="F228" s="20" t="n">
        <x:v>92886400</x:v>
      </x:c>
      <x:c r="G228" s="20" t="n">
        <x:v>35</x:v>
      </x:c>
      <x:c r="H228" s="20" t="n">
        <x:f>E228-G228</x:f>
        <x:v>442</x:v>
      </x:c>
    </x:row>
    <x:row r="229">
      <x:c r="A229" t="str">
        <x:v>43185</x:v>
      </x:c>
      <x:c r="B229" s="17" t="n">
        <x:v>45017</x:v>
      </x:c>
      <x:c r="C229" t="str">
        <x:v>Зеленая Вертикаль</x:v>
      </x:c>
      <x:c r="D229" s="14" t="n">
        <x:v>2</x:v>
      </x:c>
      <x:c r="E229" s="20" t="n">
        <x:v>114</x:v>
      </x:c>
      <x:c r="F229" s="20" t="n">
        <x:v>29400000</x:v>
      </x:c>
      <x:c r="G229" s="20" t="n">
        <x:v>0</x:v>
      </x:c>
      <x:c r="H229" s="20" t="n">
        <x:f>E229-G229</x:f>
        <x:v>114</x:v>
      </x:c>
    </x:row>
    <x:row r="230">
      <x:c r="A230" t="str">
        <x:v>43185</x:v>
      </x:c>
      <x:c r="B230" s="17" t="n">
        <x:v>45047</x:v>
      </x:c>
      <x:c r="C230" t="str">
        <x:v>Зеленая Вертикаль</x:v>
      </x:c>
      <x:c r="D230" s="14" t="n">
        <x:v>5</x:v>
      </x:c>
      <x:c r="E230" s="20" t="n">
        <x:v>395</x:v>
      </x:c>
      <x:c r="F230" s="20" t="n">
        <x:v>92814435</x:v>
      </x:c>
      <x:c r="G230" s="20" t="n">
        <x:v>0</x:v>
      </x:c>
      <x:c r="H230" s="20" t="n">
        <x:f>E230-G230</x:f>
        <x:v>395</x:v>
      </x:c>
    </x:row>
    <x:row r="231">
      <x:c r="A231" t="str">
        <x:v>44885</x:v>
      </x:c>
      <x:c r="B231" s="17" t="n">
        <x:v>44986</x:v>
      </x:c>
      <x:c r="C231" t="str">
        <x:v>Пресненский Вал 27</x:v>
      </x:c>
      <x:c r="D231" s="14" t="n">
        <x:v>344</x:v>
      </x:c>
      <x:c r="E231" s="20" t="n">
        <x:v>19922.75</x:v>
      </x:c>
      <x:c r="F231" s="20" t="n">
        <x:v>1979883050</x:v>
      </x:c>
      <x:c r="G231" s="20" t="n">
        <x:v>0</x:v>
      </x:c>
      <x:c r="H231" s="20" t="n">
        <x:f>E231-G231</x:f>
        <x:v>19922.75</x:v>
      </x:c>
    </x:row>
    <x:row r="232">
      <x:c r="A232" t="str">
        <x:v>44885</x:v>
      </x:c>
      <x:c r="B232" s="17" t="n">
        <x:v>45017</x:v>
      </x:c>
      <x:c r="C232" t="str">
        <x:v>Пресненский Вал 27</x:v>
      </x:c>
      <x:c r="D232" s="14" t="n">
        <x:v>0</x:v>
      </x:c>
      <x:c r="E232" s="20" t="n">
        <x:v>0</x:v>
      </x:c>
      <x:c r="F232" s="20" t="n">
        <x:v>0</x:v>
      </x:c>
      <x:c r="G232" s="20" t="n">
        <x:v>0</x:v>
      </x:c>
      <x:c r="H232" s="20" t="n">
        <x:f>E232-G232</x:f>
        <x:v>0</x:v>
      </x:c>
    </x:row>
    <x:row r="233">
      <x:c r="A233" t="str">
        <x:v>44885</x:v>
      </x:c>
      <x:c r="B233" s="17" t="n">
        <x:v>45047</x:v>
      </x:c>
      <x:c r="C233" t="str">
        <x:v>Пресненский Вал 27</x:v>
      </x:c>
      <x:c r="D233" s="14" t="n">
        <x:v>0</x:v>
      </x:c>
      <x:c r="E233" s="20" t="n">
        <x:v>0</x:v>
      </x:c>
      <x:c r="F233" s="20" t="n">
        <x:v>0</x:v>
      </x:c>
      <x:c r="G233" s="20" t="n">
        <x:v>0</x:v>
      </x:c>
      <x:c r="H233" s="20" t="n">
        <x:f>E233-G233</x:f>
        <x:v>0</x:v>
      </x:c>
    </x:row>
    <x:row r="234">
      <x:c r="A234" t="str">
        <x:v>44885</x:v>
      </x:c>
      <x:c r="B234" s="17" t="n">
        <x:v>45078</x:v>
      </x:c>
      <x:c r="C234" t="str">
        <x:v>Пресненский Вал 27</x:v>
      </x:c>
      <x:c r="D234" s="14" t="n">
        <x:v>0</x:v>
      </x:c>
      <x:c r="E234" s="20" t="n">
        <x:v>0</x:v>
      </x:c>
      <x:c r="F234" s="20" t="n">
        <x:v>0</x:v>
      </x:c>
      <x:c r="G234" s="20" t="n">
        <x:v>0</x:v>
      </x:c>
      <x:c r="H234" s="20" t="n">
        <x:f>E234-G234</x:f>
        <x:v>0</x:v>
      </x:c>
    </x:row>
    <x:row r="235">
      <x:c r="A235" t="str">
        <x:v>44885</x:v>
      </x:c>
      <x:c r="B235" s="17" t="n">
        <x:v>45108</x:v>
      </x:c>
      <x:c r="C235" t="str">
        <x:v>Пресненский Вал 27</x:v>
      </x:c>
      <x:c r="D235" s="14" t="n">
        <x:v>0</x:v>
      </x:c>
      <x:c r="E235" s="20" t="n">
        <x:v>0</x:v>
      </x:c>
      <x:c r="F235" s="20" t="n">
        <x:v>0</x:v>
      </x:c>
      <x:c r="G235" s="20" t="n">
        <x:v>0</x:v>
      </x:c>
      <x:c r="H235" s="20" t="n">
        <x:f>E235-G235</x:f>
        <x:v>0</x:v>
      </x:c>
    </x:row>
    <x:row r="236">
      <x:c r="A236" t="str">
        <x:v>44885</x:v>
      </x:c>
      <x:c r="B236" s="17" t="n">
        <x:v>45139</x:v>
      </x:c>
      <x:c r="C236" t="str">
        <x:v>Пресненский Вал 27</x:v>
      </x:c>
      <x:c r="D236" s="14" t="n">
        <x:v>0</x:v>
      </x:c>
      <x:c r="E236" s="20" t="n">
        <x:v>0</x:v>
      </x:c>
      <x:c r="F236" s="20" t="n">
        <x:v>0</x:v>
      </x:c>
      <x:c r="G236" s="20" t="n">
        <x:v>0</x:v>
      </x:c>
      <x:c r="H236" s="20" t="n">
        <x:f>E236-G236</x:f>
        <x:v>0</x:v>
      </x:c>
    </x:row>
    <x:row r="237">
      <x:c r="A237" t="str">
        <x:v>44885</x:v>
      </x:c>
      <x:c r="B237" s="17" t="n">
        <x:v>45170</x:v>
      </x:c>
      <x:c r="C237" t="str">
        <x:v>Пресненский Вал 27</x:v>
      </x:c>
      <x:c r="D237" s="14" t="n">
        <x:v>0</x:v>
      </x:c>
      <x:c r="E237" s="20" t="n">
        <x:v>0</x:v>
      </x:c>
      <x:c r="F237" s="20" t="n">
        <x:v>0</x:v>
      </x:c>
      <x:c r="G237" s="20" t="n">
        <x:v>0</x:v>
      </x:c>
      <x:c r="H237" s="20" t="n">
        <x:f>E237-G237</x:f>
        <x:v>0</x:v>
      </x:c>
    </x:row>
    <x:row r="238">
      <x:c r="A238" t="str">
        <x:v>44885</x:v>
      </x:c>
      <x:c r="B238" s="17" t="n">
        <x:v>45200</x:v>
      </x:c>
      <x:c r="C238" t="str">
        <x:v>Пресненский Вал 27</x:v>
      </x:c>
      <x:c r="D238" s="14" t="n">
        <x:v>0</x:v>
      </x:c>
      <x:c r="E238" s="20" t="n">
        <x:v>0</x:v>
      </x:c>
      <x:c r="F238" s="20" t="n">
        <x:v>0</x:v>
      </x:c>
      <x:c r="G238" s="20" t="n">
        <x:v>0</x:v>
      </x:c>
      <x:c r="H238" s="20" t="n">
        <x:f>E238-G238</x:f>
        <x:v>0</x:v>
      </x:c>
    </x:row>
    <x:row r="239">
      <x:c r="A239" t="str">
        <x:v>44885</x:v>
      </x:c>
      <x:c r="B239" s="17" t="n">
        <x:v>45231</x:v>
      </x:c>
      <x:c r="C239" t="str">
        <x:v>Пресненский Вал 27</x:v>
      </x:c>
      <x:c r="D239" s="14" t="n">
        <x:v>0</x:v>
      </x:c>
      <x:c r="E239" s="20" t="n">
        <x:v>0</x:v>
      </x:c>
      <x:c r="F239" s="20" t="n">
        <x:v>0</x:v>
      </x:c>
      <x:c r="G239" s="20" t="n">
        <x:v>0</x:v>
      </x:c>
      <x:c r="H239" s="20" t="n">
        <x:f>E239-G239</x:f>
        <x:v>0</x:v>
      </x:c>
    </x:row>
    <x:row r="240">
      <x:c r="A240" t="str">
        <x:v>45258</x:v>
      </x:c>
      <x:c r="B240" s="17" t="n">
        <x:v>44713</x:v>
      </x:c>
      <x:c r="C240" t="str">
        <x:v>СберСити</x:v>
      </x:c>
      <x:c r="D240" s="14" t="n">
        <x:v>89</x:v>
      </x:c>
      <x:c r="E240" s="20" t="n">
        <x:v>5357.98</x:v>
      </x:c>
      <x:c r="F240" s="20" t="n">
        <x:v>1225449879.76</x:v>
      </x:c>
      <x:c r="G240" s="20" t="n">
        <x:v>0</x:v>
      </x:c>
      <x:c r="H240" s="20" t="n">
        <x:f>E240-G240</x:f>
        <x:v>5357.98</x:v>
      </x:c>
    </x:row>
    <x:row r="241">
      <x:c r="A241" t="str">
        <x:v>45258</x:v>
      </x:c>
      <x:c r="B241" s="17" t="n">
        <x:v>44743</x:v>
      </x:c>
      <x:c r="C241" t="str">
        <x:v>СберСити</x:v>
      </x:c>
      <x:c r="D241" s="14" t="n">
        <x:v>91</x:v>
      </x:c>
      <x:c r="E241" s="20" t="n">
        <x:v>5473.35</x:v>
      </x:c>
      <x:c r="F241" s="20" t="n">
        <x:v>1283992064</x:v>
      </x:c>
      <x:c r="G241" s="20" t="n">
        <x:v>0</x:v>
      </x:c>
      <x:c r="H241" s="20" t="n">
        <x:f>E241-G241</x:f>
        <x:v>5473.35</x:v>
      </x:c>
    </x:row>
    <x:row r="242">
      <x:c r="A242" t="str">
        <x:v>45258</x:v>
      </x:c>
      <x:c r="B242" s="17" t="n">
        <x:v>44774</x:v>
      </x:c>
      <x:c r="C242" t="str">
        <x:v>СберСити</x:v>
      </x:c>
      <x:c r="D242" s="14" t="n">
        <x:v>17</x:v>
      </x:c>
      <x:c r="E242" s="20" t="n">
        <x:v>1188.6</x:v>
      </x:c>
      <x:c r="F242" s="20" t="n">
        <x:v>281985687</x:v>
      </x:c>
      <x:c r="G242" s="20" t="n">
        <x:v>0</x:v>
      </x:c>
      <x:c r="H242" s="20" t="n">
        <x:f>E242-G242</x:f>
        <x:v>1188.6</x:v>
      </x:c>
    </x:row>
    <x:row r="243">
      <x:c r="A243" t="str">
        <x:v>45258</x:v>
      </x:c>
      <x:c r="B243" s="17" t="n">
        <x:v>44805</x:v>
      </x:c>
      <x:c r="C243" t="str">
        <x:v>СберСити</x:v>
      </x:c>
      <x:c r="D243" s="14" t="n">
        <x:v>10</x:v>
      </x:c>
      <x:c r="E243" s="20" t="n">
        <x:v>696.56</x:v>
      </x:c>
      <x:c r="F243" s="20" t="n">
        <x:v>172231060</x:v>
      </x:c>
      <x:c r="G243" s="20" t="n">
        <x:v>0</x:v>
      </x:c>
      <x:c r="H243" s="20" t="n">
        <x:f>E243-G243</x:f>
        <x:v>696.56</x:v>
      </x:c>
    </x:row>
    <x:row r="244">
      <x:c r="A244" t="str">
        <x:v>45258</x:v>
      </x:c>
      <x:c r="B244" s="17" t="n">
        <x:v>44835</x:v>
      </x:c>
      <x:c r="C244" t="str">
        <x:v>СберСити</x:v>
      </x:c>
      <x:c r="D244" s="14" t="n">
        <x:v>2</x:v>
      </x:c>
      <x:c r="E244" s="20" t="n">
        <x:v>177.09</x:v>
      </x:c>
      <x:c r="F244" s="20" t="n">
        <x:v>39430250</x:v>
      </x:c>
      <x:c r="G244" s="20" t="n">
        <x:v>0</x:v>
      </x:c>
      <x:c r="H244" s="20" t="n">
        <x:f>E244-G244</x:f>
        <x:v>177.09</x:v>
      </x:c>
    </x:row>
    <x:row r="245">
      <x:c r="A245" t="str">
        <x:v>45258</x:v>
      </x:c>
      <x:c r="B245" s="17" t="n">
        <x:v>44866</x:v>
      </x:c>
      <x:c r="C245" t="str">
        <x:v>СберСити</x:v>
      </x:c>
      <x:c r="D245" s="14" t="n">
        <x:v>0</x:v>
      </x:c>
      <x:c r="E245" s="20" t="n">
        <x:v>0</x:v>
      </x:c>
      <x:c r="F245" s="20" t="n">
        <x:v>0</x:v>
      </x:c>
      <x:c r="G245" s="20" t="n">
        <x:v>0</x:v>
      </x:c>
      <x:c r="H245" s="20" t="n">
        <x:f>E245-G245</x:f>
        <x:v>0</x:v>
      </x:c>
    </x:row>
    <x:row r="246">
      <x:c r="A246" t="str">
        <x:v>45258</x:v>
      </x:c>
      <x:c r="B246" s="17" t="n">
        <x:v>44896</x:v>
      </x:c>
      <x:c r="C246" t="str">
        <x:v>СберСити</x:v>
      </x:c>
      <x:c r="D246" s="14" t="n">
        <x:v>0</x:v>
      </x:c>
      <x:c r="E246" s="20" t="n">
        <x:v>0</x:v>
      </x:c>
      <x:c r="F246" s="20" t="n">
        <x:v>0</x:v>
      </x:c>
      <x:c r="G246" s="20" t="n">
        <x:v>0</x:v>
      </x:c>
      <x:c r="H246" s="20" t="n">
        <x:f>E246-G246</x:f>
        <x:v>0</x:v>
      </x:c>
    </x:row>
    <x:row r="247">
      <x:c r="A247" t="str">
        <x:v>45258</x:v>
      </x:c>
      <x:c r="B247" s="17" t="n">
        <x:v>44927</x:v>
      </x:c>
      <x:c r="C247" t="str">
        <x:v>СберСити</x:v>
      </x:c>
      <x:c r="D247" s="14" t="n">
        <x:v>0</x:v>
      </x:c>
      <x:c r="E247" s="20" t="n">
        <x:v>0</x:v>
      </x:c>
      <x:c r="F247" s="20" t="n">
        <x:v>0</x:v>
      </x:c>
      <x:c r="G247" s="20" t="n">
        <x:v>0</x:v>
      </x:c>
      <x:c r="H247" s="20" t="n">
        <x:f>E247-G247</x:f>
        <x:v>0</x:v>
      </x:c>
    </x:row>
    <x:row r="248">
      <x:c r="A248" t="str">
        <x:v>45258</x:v>
      </x:c>
      <x:c r="B248" s="17" t="n">
        <x:v>44958</x:v>
      </x:c>
      <x:c r="C248" t="str">
        <x:v>СберСити</x:v>
      </x:c>
      <x:c r="D248" s="14" t="n">
        <x:v>0</x:v>
      </x:c>
      <x:c r="E248" s="20" t="n">
        <x:v>0</x:v>
      </x:c>
      <x:c r="F248" s="20" t="n">
        <x:v>0</x:v>
      </x:c>
      <x:c r="G248" s="20" t="n">
        <x:v>0</x:v>
      </x:c>
      <x:c r="H248" s="20" t="n">
        <x:f>E248-G248</x:f>
        <x:v>0</x:v>
      </x:c>
    </x:row>
    <x:row r="249">
      <x:c r="A249" t="str">
        <x:v>45258</x:v>
      </x:c>
      <x:c r="B249" s="17" t="n">
        <x:v>44986</x:v>
      </x:c>
      <x:c r="C249" t="str">
        <x:v>СберСити</x:v>
      </x:c>
      <x:c r="D249" s="14" t="n">
        <x:v>0</x:v>
      </x:c>
      <x:c r="E249" s="20" t="n">
        <x:v>0</x:v>
      </x:c>
      <x:c r="F249" s="20" t="n">
        <x:v>0</x:v>
      </x:c>
      <x:c r="G249" s="20" t="n">
        <x:v>0</x:v>
      </x:c>
      <x:c r="H249" s="20" t="n">
        <x:f>E249-G249</x:f>
        <x:v>0</x:v>
      </x:c>
    </x:row>
    <x:row r="250">
      <x:c r="A250" t="str">
        <x:v>45258</x:v>
      </x:c>
      <x:c r="B250" s="17" t="n">
        <x:v>45017</x:v>
      </x:c>
      <x:c r="C250" t="str">
        <x:v>СберСити</x:v>
      </x:c>
      <x:c r="D250" s="14" t="n">
        <x:v>3</x:v>
      </x:c>
      <x:c r="E250" s="20" t="n">
        <x:v>182.22</x:v>
      </x:c>
      <x:c r="F250" s="20" t="n">
        <x:v>62758547</x:v>
      </x:c>
      <x:c r="G250" s="20" t="n">
        <x:v>0</x:v>
      </x:c>
      <x:c r="H250" s="20" t="n">
        <x:f>E250-G250</x:f>
        <x:v>182.22</x:v>
      </x:c>
    </x:row>
    <x:row r="251">
      <x:c r="A251" t="str">
        <x:v>45258</x:v>
      </x:c>
      <x:c r="B251" s="17" t="n">
        <x:v>45047</x:v>
      </x:c>
      <x:c r="C251" t="str">
        <x:v>СберСити</x:v>
      </x:c>
      <x:c r="D251" s="14" t="n">
        <x:v>0</x:v>
      </x:c>
      <x:c r="E251" s="20" t="n">
        <x:v>0</x:v>
      </x:c>
      <x:c r="F251" s="20" t="n">
        <x:v>0</x:v>
      </x:c>
      <x:c r="G251" s="20" t="n">
        <x:v>0</x:v>
      </x:c>
      <x:c r="H251" s="20" t="n">
        <x:f>E251-G251</x:f>
        <x:v>0</x:v>
      </x:c>
    </x:row>
    <x:row r="252">
      <x:c r="A252" t="str">
        <x:v>45258</x:v>
      </x:c>
      <x:c r="B252" s="17" t="n">
        <x:v>45078</x:v>
      </x:c>
      <x:c r="C252" t="str">
        <x:v>СберСити</x:v>
      </x:c>
      <x:c r="D252" s="14" t="n">
        <x:v>4</x:v>
      </x:c>
      <x:c r="E252" s="20" t="n">
        <x:v>311.79</x:v>
      </x:c>
      <x:c r="F252" s="20" t="n">
        <x:v>99778716</x:v>
      </x:c>
      <x:c r="G252" s="20" t="n">
        <x:v>0</x:v>
      </x:c>
      <x:c r="H252" s="20" t="n">
        <x:f>E252-G252</x:f>
        <x:v>311.79</x:v>
      </x:c>
    </x:row>
    <x:row r="253">
      <x:c r="A253" t="str">
        <x:v>45258</x:v>
      </x:c>
      <x:c r="B253" s="17" t="n">
        <x:v>45108</x:v>
      </x:c>
      <x:c r="C253" t="str">
        <x:v>СберСити</x:v>
      </x:c>
      <x:c r="D253" s="14" t="n">
        <x:v>1</x:v>
      </x:c>
      <x:c r="E253" s="20" t="n">
        <x:v>78.28</x:v>
      </x:c>
      <x:c r="F253" s="20" t="n">
        <x:v>27601528</x:v>
      </x:c>
      <x:c r="G253" s="20" t="n">
        <x:v>0</x:v>
      </x:c>
      <x:c r="H253" s="20" t="n">
        <x:f>E253-G253</x:f>
        <x:v>78.28</x:v>
      </x:c>
    </x:row>
    <x:row r="254">
      <x:c r="A254" t="str">
        <x:v>45258</x:v>
      </x:c>
      <x:c r="B254" s="17" t="n">
        <x:v>45139</x:v>
      </x:c>
      <x:c r="C254" t="str">
        <x:v>СберСити</x:v>
      </x:c>
      <x:c r="D254" s="14" t="n">
        <x:v>0</x:v>
      </x:c>
      <x:c r="E254" s="20" t="n">
        <x:v>0</x:v>
      </x:c>
      <x:c r="F254" s="20" t="n">
        <x:v>0</x:v>
      </x:c>
      <x:c r="G254" s="20" t="n">
        <x:v>0</x:v>
      </x:c>
      <x:c r="H254" s="20" t="n">
        <x:f>E254-G254</x:f>
        <x:v>0</x:v>
      </x:c>
    </x:row>
    <x:row r="255">
      <x:c r="A255" t="str">
        <x:v>45258</x:v>
      </x:c>
      <x:c r="B255" s="17" t="n">
        <x:v>45170</x:v>
      </x:c>
      <x:c r="C255" t="str">
        <x:v>СберСити</x:v>
      </x:c>
      <x:c r="D255" s="14" t="n">
        <x:v>2</x:v>
      </x:c>
      <x:c r="E255" s="20" t="n">
        <x:v>140.76</x:v>
      </x:c>
      <x:c r="F255" s="20" t="n">
        <x:v>51633772</x:v>
      </x:c>
      <x:c r="G255" s="20" t="n">
        <x:v>0</x:v>
      </x:c>
      <x:c r="H255" s="20" t="n">
        <x:f>E255-G255</x:f>
        <x:v>140.76</x:v>
      </x:c>
    </x:row>
    <x:row r="256">
      <x:c r="A256" t="str">
        <x:v>45258</x:v>
      </x:c>
      <x:c r="B256" s="17" t="n">
        <x:v>45200</x:v>
      </x:c>
      <x:c r="C256" t="str">
        <x:v>СберСити</x:v>
      </x:c>
      <x:c r="D256" s="14" t="n">
        <x:v>1</x:v>
      </x:c>
      <x:c r="E256" s="20" t="n">
        <x:v>200.8</x:v>
      </x:c>
      <x:c r="F256" s="20" t="n">
        <x:v>56485040</x:v>
      </x:c>
      <x:c r="G256" s="20" t="n">
        <x:v>0</x:v>
      </x:c>
      <x:c r="H256" s="20" t="n">
        <x:f>E256-G256</x:f>
        <x:v>200.8</x:v>
      </x:c>
    </x:row>
    <x:row r="257">
      <x:c r="A257" t="str">
        <x:v>45258</x:v>
      </x:c>
      <x:c r="B257" s="17" t="n">
        <x:v>45231</x:v>
      </x:c>
      <x:c r="C257" t="str">
        <x:v>СберСити</x:v>
      </x:c>
      <x:c r="D257" s="14" t="n">
        <x:v>0</x:v>
      </x:c>
      <x:c r="E257" s="20" t="n">
        <x:v>0</x:v>
      </x:c>
      <x:c r="F257" s="20" t="n">
        <x:v>0</x:v>
      </x:c>
      <x:c r="G257" s="20" t="n">
        <x:v>0</x:v>
      </x:c>
      <x:c r="H257" s="20" t="n">
        <x:f>E257-G257</x:f>
        <x:v>0</x:v>
      </x:c>
    </x:row>
    <x:row r="258">
      <x:c r="A258" t="str">
        <x:v>45258</x:v>
      </x:c>
      <x:c r="B258" s="17" t="n">
        <x:v>45261</x:v>
      </x:c>
      <x:c r="C258" t="str">
        <x:v>СберСити</x:v>
      </x:c>
      <x:c r="D258" s="14" t="n">
        <x:v>0</x:v>
      </x:c>
      <x:c r="E258" s="20" t="n">
        <x:v>0</x:v>
      </x:c>
      <x:c r="F258" s="20" t="n">
        <x:v>0</x:v>
      </x:c>
      <x:c r="G258" s="20" t="n">
        <x:v>0</x:v>
      </x:c>
      <x:c r="H258" s="20" t="n">
        <x:f>E258-G258</x:f>
        <x:v>0</x:v>
      </x:c>
    </x:row>
    <x:row r="259">
      <x:c r="A259" t="str">
        <x:v>45258</x:v>
      </x:c>
      <x:c r="B259" s="17" t="n">
        <x:v>45292</x:v>
      </x:c>
      <x:c r="C259" t="str">
        <x:v>СберСити</x:v>
      </x:c>
      <x:c r="D259" s="14" t="n">
        <x:v>0</x:v>
      </x:c>
      <x:c r="E259" s="20" t="n">
        <x:v>0</x:v>
      </x:c>
      <x:c r="F259" s="20" t="n">
        <x:v>0</x:v>
      </x:c>
      <x:c r="G259" s="20" t="n">
        <x:v>0</x:v>
      </x:c>
      <x:c r="H259" s="20" t="n">
        <x:f>E259-G259</x:f>
        <x:v>0</x:v>
      </x:c>
    </x:row>
    <x:row r="260">
      <x:c r="A260" t="str">
        <x:v>45258</x:v>
      </x:c>
      <x:c r="B260" s="17" t="n">
        <x:v>45323</x:v>
      </x:c>
      <x:c r="C260" t="str">
        <x:v>СберСити</x:v>
      </x:c>
      <x:c r="D260" s="14" t="n">
        <x:v>0</x:v>
      </x:c>
      <x:c r="E260" s="20" t="n">
        <x:v>0</x:v>
      </x:c>
      <x:c r="F260" s="20" t="n">
        <x:v>0</x:v>
      </x:c>
      <x:c r="G260" s="20" t="n">
        <x:v>0</x:v>
      </x:c>
      <x:c r="H260" s="20" t="n">
        <x:f>E260-G260</x:f>
        <x:v>0</x:v>
      </x:c>
    </x:row>
    <x:row r="261">
      <x:c r="A261" t="str">
        <x:v>45258</x:v>
      </x:c>
      <x:c r="B261" s="17" t="n">
        <x:v>45352</x:v>
      </x:c>
      <x:c r="C261" t="str">
        <x:v>СберСити</x:v>
      </x:c>
      <x:c r="D261" s="14" t="n">
        <x:v>0</x:v>
      </x:c>
      <x:c r="E261" s="20" t="n">
        <x:v>0</x:v>
      </x:c>
      <x:c r="F261" s="20" t="n">
        <x:v>0</x:v>
      </x:c>
      <x:c r="G261" s="20" t="n">
        <x:v>0</x:v>
      </x:c>
      <x:c r="H261" s="20" t="n">
        <x:f>E261-G261</x:f>
        <x:v>0</x:v>
      </x:c>
    </x:row>
    <x:row r="262">
      <x:c r="A262" t="str">
        <x:v>45258</x:v>
      </x:c>
      <x:c r="B262" s="17" t="n">
        <x:v>45413</x:v>
      </x:c>
      <x:c r="C262" t="str">
        <x:v>СберСити</x:v>
      </x:c>
      <x:c r="D262" s="14" t="n">
        <x:v>0</x:v>
      </x:c>
      <x:c r="E262" s="20" t="n">
        <x:v>0</x:v>
      </x:c>
      <x:c r="F262" s="20" t="n">
        <x:v>0</x:v>
      </x:c>
      <x:c r="G262" s="20" t="n">
        <x:v>0</x:v>
      </x:c>
      <x:c r="H262" s="20" t="n">
        <x:f>E262-G262</x:f>
        <x:v>0</x:v>
      </x:c>
    </x:row>
    <x:row r="263">
      <x:c r="A263" t="str">
        <x:v>45973</x:v>
      </x:c>
      <x:c r="B263" s="17" t="n">
        <x:v>44682</x:v>
      </x:c>
      <x:c r="C263" t="str">
        <x:v>Символ</x:v>
      </x:c>
      <x:c r="D263" s="14" t="n">
        <x:v>7</x:v>
      </x:c>
      <x:c r="E263" s="20" t="n">
        <x:v>434.3</x:v>
      </x:c>
      <x:c r="F263" s="20" t="n">
        <x:v>143217921</x:v>
      </x:c>
      <x:c r="G263" s="20" t="n">
        <x:v>0</x:v>
      </x:c>
      <x:c r="H263" s="20" t="n">
        <x:f>E263-G263</x:f>
        <x:v>434.3</x:v>
      </x:c>
    </x:row>
    <x:row r="264">
      <x:c r="A264" t="str">
        <x:v>45973</x:v>
      </x:c>
      <x:c r="B264" s="17" t="n">
        <x:v>44713</x:v>
      </x:c>
      <x:c r="C264" t="str">
        <x:v>Символ</x:v>
      </x:c>
      <x:c r="D264" s="14" t="n">
        <x:v>6</x:v>
      </x:c>
      <x:c r="E264" s="20" t="n">
        <x:v>411.1</x:v>
      </x:c>
      <x:c r="F264" s="20" t="n">
        <x:v>132279948</x:v>
      </x:c>
      <x:c r="G264" s="20" t="n">
        <x:v>0</x:v>
      </x:c>
      <x:c r="H264" s="20" t="n">
        <x:f>E264-G264</x:f>
        <x:v>411.1</x:v>
      </x:c>
    </x:row>
    <x:row r="265">
      <x:c r="A265" t="str">
        <x:v>45973</x:v>
      </x:c>
      <x:c r="B265" s="17" t="n">
        <x:v>44743</x:v>
      </x:c>
      <x:c r="C265" t="str">
        <x:v>Символ</x:v>
      </x:c>
      <x:c r="D265" s="14" t="n">
        <x:v>28</x:v>
      </x:c>
      <x:c r="E265" s="20" t="n">
        <x:v>1306.8</x:v>
      </x:c>
      <x:c r="F265" s="20" t="n">
        <x:v>415243098</x:v>
      </x:c>
      <x:c r="G265" s="20" t="n">
        <x:v>0</x:v>
      </x:c>
      <x:c r="H265" s="20" t="n">
        <x:f>E265-G265</x:f>
        <x:v>1306.8</x:v>
      </x:c>
    </x:row>
    <x:row r="266">
      <x:c r="A266" t="str">
        <x:v>45973</x:v>
      </x:c>
      <x:c r="B266" s="17" t="n">
        <x:v>44774</x:v>
      </x:c>
      <x:c r="C266" t="str">
        <x:v>Символ</x:v>
      </x:c>
      <x:c r="D266" s="14" t="n">
        <x:v>17</x:v>
      </x:c>
      <x:c r="E266" s="20" t="n">
        <x:v>1039.5</x:v>
      </x:c>
      <x:c r="F266" s="20" t="n">
        <x:v>344549892</x:v>
      </x:c>
      <x:c r="G266" s="20" t="n">
        <x:v>58.6</x:v>
      </x:c>
      <x:c r="H266" s="20" t="n">
        <x:f>E266-G266</x:f>
        <x:v>980.9</x:v>
      </x:c>
    </x:row>
    <x:row r="267">
      <x:c r="A267" t="str">
        <x:v>45973</x:v>
      </x:c>
      <x:c r="B267" s="17" t="n">
        <x:v>44805</x:v>
      </x:c>
      <x:c r="C267" t="str">
        <x:v>Символ</x:v>
      </x:c>
      <x:c r="D267" s="14" t="n">
        <x:v>13</x:v>
      </x:c>
      <x:c r="E267" s="20" t="n">
        <x:v>1009.3</x:v>
      </x:c>
      <x:c r="F267" s="20" t="n">
        <x:v>352371635</x:v>
      </x:c>
      <x:c r="G267" s="20" t="n">
        <x:v>0</x:v>
      </x:c>
      <x:c r="H267" s="20" t="n">
        <x:f>E267-G267</x:f>
        <x:v>1009.3</x:v>
      </x:c>
    </x:row>
    <x:row r="268">
      <x:c r="A268" t="str">
        <x:v>45973</x:v>
      </x:c>
      <x:c r="B268" s="17" t="n">
        <x:v>44835</x:v>
      </x:c>
      <x:c r="C268" t="str">
        <x:v>Символ</x:v>
      </x:c>
      <x:c r="D268" s="14" t="n">
        <x:v>1</x:v>
      </x:c>
      <x:c r="E268" s="20" t="n">
        <x:v>64.9</x:v>
      </x:c>
      <x:c r="F268" s="20" t="n">
        <x:v>23132280</x:v>
      </x:c>
      <x:c r="G268" s="20" t="n">
        <x:v>60.7</x:v>
      </x:c>
      <x:c r="H268" s="20" t="n">
        <x:f>E268-G268</x:f>
        <x:v>4.200000000000003</x:v>
      </x:c>
    </x:row>
    <x:row r="269">
      <x:c r="A269" t="str">
        <x:v>45973</x:v>
      </x:c>
      <x:c r="B269" s="17" t="n">
        <x:v>44866</x:v>
      </x:c>
      <x:c r="C269" t="str">
        <x:v>Символ</x:v>
      </x:c>
      <x:c r="D269" s="14" t="n">
        <x:v>2</x:v>
      </x:c>
      <x:c r="E269" s="20" t="n">
        <x:v>134.3</x:v>
      </x:c>
      <x:c r="F269" s="20" t="n">
        <x:v>49841555</x:v>
      </x:c>
      <x:c r="G269" s="20" t="n">
        <x:v>0</x:v>
      </x:c>
      <x:c r="H269" s="20" t="n">
        <x:f>E269-G269</x:f>
        <x:v>134.3</x:v>
      </x:c>
    </x:row>
    <x:row r="270">
      <x:c r="A270" t="str">
        <x:v>45973</x:v>
      </x:c>
      <x:c r="B270" s="17" t="n">
        <x:v>44896</x:v>
      </x:c>
      <x:c r="C270" t="str">
        <x:v>Символ</x:v>
      </x:c>
      <x:c r="D270" s="14" t="n">
        <x:v>3</x:v>
      </x:c>
      <x:c r="E270" s="20" t="n">
        <x:v>160.8</x:v>
      </x:c>
      <x:c r="F270" s="20" t="n">
        <x:v>61686710</x:v>
      </x:c>
      <x:c r="G270" s="20" t="n">
        <x:v>0</x:v>
      </x:c>
      <x:c r="H270" s="20" t="n">
        <x:f>E270-G270</x:f>
        <x:v>160.8</x:v>
      </x:c>
    </x:row>
    <x:row r="271">
      <x:c r="A271" t="str">
        <x:v>45973</x:v>
      </x:c>
      <x:c r="B271" s="17" t="n">
        <x:v>44927</x:v>
      </x:c>
      <x:c r="C271" t="str">
        <x:v>Символ</x:v>
      </x:c>
      <x:c r="D271" s="14" t="n">
        <x:v>4</x:v>
      </x:c>
      <x:c r="E271" s="20" t="n">
        <x:v>288.5</x:v>
      </x:c>
      <x:c r="F271" s="20" t="n">
        <x:v>94698840</x:v>
      </x:c>
      <x:c r="G271" s="20" t="n">
        <x:v>0</x:v>
      </x:c>
      <x:c r="H271" s="20" t="n">
        <x:f>E271-G271</x:f>
        <x:v>288.5</x:v>
      </x:c>
    </x:row>
    <x:row r="272">
      <x:c r="A272" t="str">
        <x:v>45973</x:v>
      </x:c>
      <x:c r="B272" s="17" t="n">
        <x:v>44958</x:v>
      </x:c>
      <x:c r="C272" t="str">
        <x:v>Символ</x:v>
      </x:c>
      <x:c r="D272" s="14" t="n">
        <x:v>4</x:v>
      </x:c>
      <x:c r="E272" s="20" t="n">
        <x:v>250.3</x:v>
      </x:c>
      <x:c r="F272" s="20" t="n">
        <x:v>93347437</x:v>
      </x:c>
      <x:c r="G272" s="20" t="n">
        <x:v>0</x:v>
      </x:c>
      <x:c r="H272" s="20" t="n">
        <x:f>E272-G272</x:f>
        <x:v>250.3</x:v>
      </x:c>
    </x:row>
    <x:row r="273">
      <x:c r="A273" t="str">
        <x:v>45973</x:v>
      </x:c>
      <x:c r="B273" s="17" t="n">
        <x:v>44986</x:v>
      </x:c>
      <x:c r="C273" t="str">
        <x:v>Символ</x:v>
      </x:c>
      <x:c r="D273" s="14" t="n">
        <x:v>9</x:v>
      </x:c>
      <x:c r="E273" s="20" t="n">
        <x:v>693.6</x:v>
      </x:c>
      <x:c r="F273" s="20" t="n">
        <x:v>252607445</x:v>
      </x:c>
      <x:c r="G273" s="20" t="n">
        <x:v>0</x:v>
      </x:c>
      <x:c r="H273" s="20" t="n">
        <x:f>E273-G273</x:f>
        <x:v>693.6</x:v>
      </x:c>
    </x:row>
    <x:row r="274">
      <x:c r="A274" t="str">
        <x:v>45973</x:v>
      </x:c>
      <x:c r="B274" s="17" t="n">
        <x:v>45017</x:v>
      </x:c>
      <x:c r="C274" t="str">
        <x:v>Символ</x:v>
      </x:c>
      <x:c r="D274" s="14" t="n">
        <x:v>11</x:v>
      </x:c>
      <x:c r="E274" s="20" t="n">
        <x:v>664.7</x:v>
      </x:c>
      <x:c r="F274" s="20" t="n">
        <x:v>242417216</x:v>
      </x:c>
      <x:c r="G274" s="20" t="n">
        <x:v>0</x:v>
      </x:c>
      <x:c r="H274" s="20" t="n">
        <x:f>E274-G274</x:f>
        <x:v>664.7</x:v>
      </x:c>
    </x:row>
    <x:row r="275">
      <x:c r="A275" t="str">
        <x:v>45973</x:v>
      </x:c>
      <x:c r="B275" s="17" t="n">
        <x:v>45047</x:v>
      </x:c>
      <x:c r="C275" t="str">
        <x:v>Символ</x:v>
      </x:c>
      <x:c r="D275" s="14" t="n">
        <x:v>6</x:v>
      </x:c>
      <x:c r="E275" s="20" t="n">
        <x:v>438.7</x:v>
      </x:c>
      <x:c r="F275" s="20" t="n">
        <x:v>157090501</x:v>
      </x:c>
      <x:c r="G275" s="20" t="n">
        <x:v>0</x:v>
      </x:c>
      <x:c r="H275" s="20" t="n">
        <x:f>E275-G275</x:f>
        <x:v>438.7</x:v>
      </x:c>
    </x:row>
    <x:row r="276">
      <x:c r="A276" t="str">
        <x:v>45973</x:v>
      </x:c>
      <x:c r="B276" s="17" t="n">
        <x:v>45078</x:v>
      </x:c>
      <x:c r="C276" t="str">
        <x:v>Символ</x:v>
      </x:c>
      <x:c r="D276" s="14" t="n">
        <x:v>13</x:v>
      </x:c>
      <x:c r="E276" s="20" t="n">
        <x:v>868</x:v>
      </x:c>
      <x:c r="F276" s="20" t="n">
        <x:v>304142677</x:v>
      </x:c>
      <x:c r="G276" s="20" t="n">
        <x:v>0</x:v>
      </x:c>
      <x:c r="H276" s="20" t="n">
        <x:f>E276-G276</x:f>
        <x:v>868</x:v>
      </x:c>
    </x:row>
    <x:row r="277">
      <x:c r="A277" t="str">
        <x:v>45973</x:v>
      </x:c>
      <x:c r="B277" s="17" t="n">
        <x:v>45108</x:v>
      </x:c>
      <x:c r="C277" t="str">
        <x:v>Символ</x:v>
      </x:c>
      <x:c r="D277" s="14" t="n">
        <x:v>11</x:v>
      </x:c>
      <x:c r="E277" s="20" t="n">
        <x:v>789.8</x:v>
      </x:c>
      <x:c r="F277" s="20" t="n">
        <x:v>284809681</x:v>
      </x:c>
      <x:c r="G277" s="20" t="n">
        <x:v>0</x:v>
      </x:c>
      <x:c r="H277" s="20" t="n">
        <x:f>E277-G277</x:f>
        <x:v>789.8</x:v>
      </x:c>
    </x:row>
    <x:row r="278">
      <x:c r="A278" t="str">
        <x:v>45973</x:v>
      </x:c>
      <x:c r="B278" s="17" t="n">
        <x:v>45139</x:v>
      </x:c>
      <x:c r="C278" t="str">
        <x:v>Символ</x:v>
      </x:c>
      <x:c r="D278" s="14" t="n">
        <x:v>23</x:v>
      </x:c>
      <x:c r="E278" s="20" t="n">
        <x:v>1528.4</x:v>
      </x:c>
      <x:c r="F278" s="20" t="n">
        <x:v>557777210</x:v>
      </x:c>
      <x:c r="G278" s="20" t="n">
        <x:v>0</x:v>
      </x:c>
      <x:c r="H278" s="20" t="n">
        <x:f>E278-G278</x:f>
        <x:v>1528.4</x:v>
      </x:c>
    </x:row>
    <x:row r="279">
      <x:c r="A279" t="str">
        <x:v>45973</x:v>
      </x:c>
      <x:c r="B279" s="17" t="n">
        <x:v>45170</x:v>
      </x:c>
      <x:c r="C279" t="str">
        <x:v>Символ</x:v>
      </x:c>
      <x:c r="D279" s="14" t="n">
        <x:v>26</x:v>
      </x:c>
      <x:c r="E279" s="20" t="n">
        <x:v>1779.3</x:v>
      </x:c>
      <x:c r="F279" s="20" t="n">
        <x:v>667286865</x:v>
      </x:c>
      <x:c r="G279" s="20" t="n">
        <x:v>0</x:v>
      </x:c>
      <x:c r="H279" s="20" t="n">
        <x:f>E279-G279</x:f>
        <x:v>1779.3</x:v>
      </x:c>
    </x:row>
    <x:row r="280">
      <x:c r="A280" t="str">
        <x:v>45973</x:v>
      </x:c>
      <x:c r="B280" s="17" t="n">
        <x:v>45200</x:v>
      </x:c>
      <x:c r="C280" t="str">
        <x:v>Символ</x:v>
      </x:c>
      <x:c r="D280" s="14" t="n">
        <x:v>20</x:v>
      </x:c>
      <x:c r="E280" s="20" t="n">
        <x:v>1349.6</x:v>
      </x:c>
      <x:c r="F280" s="20" t="n">
        <x:v>512867264</x:v>
      </x:c>
      <x:c r="G280" s="20" t="n">
        <x:v>0</x:v>
      </x:c>
      <x:c r="H280" s="20" t="n">
        <x:f>E280-G280</x:f>
        <x:v>1349.6</x:v>
      </x:c>
    </x:row>
    <x:row r="281">
      <x:c r="A281" t="str">
        <x:v>45973</x:v>
      </x:c>
      <x:c r="B281" s="17" t="n">
        <x:v>45231</x:v>
      </x:c>
      <x:c r="C281" t="str">
        <x:v>Символ</x:v>
      </x:c>
      <x:c r="D281" s="14" t="n">
        <x:v>15</x:v>
      </x:c>
      <x:c r="E281" s="20" t="n">
        <x:v>1077.8</x:v>
      </x:c>
      <x:c r="F281" s="20" t="n">
        <x:v>405931926</x:v>
      </x:c>
      <x:c r="G281" s="20" t="n">
        <x:v>0</x:v>
      </x:c>
      <x:c r="H281" s="20" t="n">
        <x:f>E281-G281</x:f>
        <x:v>1077.8</x:v>
      </x:c>
    </x:row>
    <x:row r="282">
      <x:c r="A282" t="str">
        <x:v>45973</x:v>
      </x:c>
      <x:c r="B282" s="17" t="n">
        <x:v>45261</x:v>
      </x:c>
      <x:c r="C282" t="str">
        <x:v>Символ</x:v>
      </x:c>
      <x:c r="D282" s="14" t="n">
        <x:v>29</x:v>
      </x:c>
      <x:c r="E282" s="20" t="n">
        <x:v>1611.2</x:v>
      </x:c>
      <x:c r="F282" s="20" t="n">
        <x:v>633149786</x:v>
      </x:c>
      <x:c r="G282" s="20" t="n">
        <x:v>0</x:v>
      </x:c>
      <x:c r="H282" s="20" t="n">
        <x:f>E282-G282</x:f>
        <x:v>1611.2</x:v>
      </x:c>
    </x:row>
    <x:row r="283">
      <x:c r="A283" t="str">
        <x:v>45973</x:v>
      </x:c>
      <x:c r="B283" s="17" t="n">
        <x:v>45292</x:v>
      </x:c>
      <x:c r="C283" t="str">
        <x:v>Символ</x:v>
      </x:c>
      <x:c r="D283" s="14" t="n">
        <x:v>6</x:v>
      </x:c>
      <x:c r="E283" s="20" t="n">
        <x:v>350.3</x:v>
      </x:c>
      <x:c r="F283" s="20" t="n">
        <x:v>132418555</x:v>
      </x:c>
      <x:c r="G283" s="20" t="n">
        <x:v>0</x:v>
      </x:c>
      <x:c r="H283" s="20" t="n">
        <x:f>E283-G283</x:f>
        <x:v>350.3</x:v>
      </x:c>
    </x:row>
    <x:row r="284">
      <x:c r="A284" t="str">
        <x:v>45973</x:v>
      </x:c>
      <x:c r="B284" s="17" t="n">
        <x:v>45323</x:v>
      </x:c>
      <x:c r="C284" t="str">
        <x:v>Символ</x:v>
      </x:c>
      <x:c r="D284" s="14" t="n">
        <x:v>13</x:v>
      </x:c>
      <x:c r="E284" s="20" t="n">
        <x:v>800.9</x:v>
      </x:c>
      <x:c r="F284" s="20" t="n">
        <x:v>312635167</x:v>
      </x:c>
      <x:c r="G284" s="20" t="n">
        <x:v>0</x:v>
      </x:c>
      <x:c r="H284" s="20" t="n">
        <x:f>E284-G284</x:f>
        <x:v>800.9</x:v>
      </x:c>
    </x:row>
    <x:row r="285">
      <x:c r="A285" t="str">
        <x:v>45973</x:v>
      </x:c>
      <x:c r="B285" s="17" t="n">
        <x:v>45352</x:v>
      </x:c>
      <x:c r="C285" t="str">
        <x:v>Символ</x:v>
      </x:c>
      <x:c r="D285" s="14" t="n">
        <x:v>19</x:v>
      </x:c>
      <x:c r="E285" s="20" t="n">
        <x:v>1052.1</x:v>
      </x:c>
      <x:c r="F285" s="20" t="n">
        <x:v>427177063</x:v>
      </x:c>
      <x:c r="G285" s="20" t="n">
        <x:v>0</x:v>
      </x:c>
      <x:c r="H285" s="20" t="n">
        <x:f>E285-G285</x:f>
        <x:v>1052.1</x:v>
      </x:c>
    </x:row>
    <x:row r="286">
      <x:c r="A286" t="str">
        <x:v>45973</x:v>
      </x:c>
      <x:c r="B286" s="17" t="n">
        <x:v>45383</x:v>
      </x:c>
      <x:c r="C286" t="str">
        <x:v>Символ</x:v>
      </x:c>
      <x:c r="D286" s="14" t="n">
        <x:v>13</x:v>
      </x:c>
      <x:c r="E286" s="20" t="n">
        <x:v>915.5</x:v>
      </x:c>
      <x:c r="F286" s="20" t="n">
        <x:v>365268603</x:v>
      </x:c>
      <x:c r="G286" s="20" t="n">
        <x:v>0</x:v>
      </x:c>
      <x:c r="H286" s="20" t="n">
        <x:f>E286-G286</x:f>
        <x:v>915.5</x:v>
      </x:c>
    </x:row>
    <x:row r="287">
      <x:c r="A287" t="str">
        <x:v>45973</x:v>
      </x:c>
      <x:c r="B287" s="17" t="n">
        <x:v>45413</x:v>
      </x:c>
      <x:c r="C287" t="str">
        <x:v>Символ</x:v>
      </x:c>
      <x:c r="D287" s="14" t="n">
        <x:v>8</x:v>
      </x:c>
      <x:c r="E287" s="20" t="n">
        <x:v>450.5</x:v>
      </x:c>
      <x:c r="F287" s="20" t="n">
        <x:v>187616309</x:v>
      </x:c>
      <x:c r="G287" s="20" t="n">
        <x:v>0</x:v>
      </x:c>
      <x:c r="H287" s="20" t="n">
        <x:f>E287-G287</x:f>
        <x:v>450.5</x:v>
      </x:c>
    </x:row>
    <x:row r="288">
      <x:c r="A288" t="str">
        <x:v>45973</x:v>
      </x:c>
      <x:c r="B288" s="17" t="n">
        <x:v>45444</x:v>
      </x:c>
      <x:c r="C288" t="str">
        <x:v>Символ</x:v>
      </x:c>
      <x:c r="D288" s="14" t="n">
        <x:v>13</x:v>
      </x:c>
      <x:c r="E288" s="20" t="n">
        <x:v>696.9</x:v>
      </x:c>
      <x:c r="F288" s="20" t="n">
        <x:v>299488926</x:v>
      </x:c>
      <x:c r="G288" s="20" t="n">
        <x:v>0</x:v>
      </x:c>
      <x:c r="H288" s="20" t="n">
        <x:f>E288-G288</x:f>
        <x:v>696.9</x:v>
      </x:c>
    </x:row>
    <x:row r="289">
      <x:c r="A289" t="str">
        <x:v>45973</x:v>
      </x:c>
      <x:c r="B289" s="17" t="n">
        <x:v>45474</x:v>
      </x:c>
      <x:c r="C289" t="str">
        <x:v>Символ</x:v>
      </x:c>
      <x:c r="D289" s="14" t="n">
        <x:v>8</x:v>
      </x:c>
      <x:c r="E289" s="20" t="n">
        <x:v>516.4</x:v>
      </x:c>
      <x:c r="F289" s="20" t="n">
        <x:v>220358775</x:v>
      </x:c>
      <x:c r="G289" s="20" t="n">
        <x:v>0</x:v>
      </x:c>
      <x:c r="H289" s="20" t="n">
        <x:f>E289-G289</x:f>
        <x:v>516.4</x:v>
      </x:c>
    </x:row>
    <x:row r="290">
      <x:c r="A290" t="str">
        <x:v>45973</x:v>
      </x:c>
      <x:c r="B290" s="17" t="n">
        <x:v>45505</x:v>
      </x:c>
      <x:c r="C290" t="str">
        <x:v>Символ</x:v>
      </x:c>
      <x:c r="D290" s="14" t="n">
        <x:v>7</x:v>
      </x:c>
      <x:c r="E290" s="20" t="n">
        <x:v>396.3</x:v>
      </x:c>
      <x:c r="F290" s="20" t="n">
        <x:v>175675539</x:v>
      </x:c>
      <x:c r="G290" s="20" t="n">
        <x:v>0</x:v>
      </x:c>
      <x:c r="H290" s="20" t="n">
        <x:f>E290-G290</x:f>
        <x:v>396.3</x:v>
      </x:c>
    </x:row>
    <x:row r="291">
      <x:c r="A291" t="str">
        <x:v>45973</x:v>
      </x:c>
      <x:c r="B291" s="17" t="n">
        <x:v>45536</x:v>
      </x:c>
      <x:c r="C291" t="str">
        <x:v>Символ</x:v>
      </x:c>
      <x:c r="D291" s="14" t="n">
        <x:v>9</x:v>
      </x:c>
      <x:c r="E291" s="20" t="n">
        <x:v>439</x:v>
      </x:c>
      <x:c r="F291" s="20" t="n">
        <x:v>206197700</x:v>
      </x:c>
      <x:c r="G291" s="20" t="n">
        <x:v>0</x:v>
      </x:c>
      <x:c r="H291" s="20" t="n">
        <x:f>E291-G291</x:f>
        <x:v>439</x:v>
      </x:c>
    </x:row>
    <x:row r="292">
      <x:c r="A292" t="str">
        <x:v>45973</x:v>
      </x:c>
      <x:c r="B292" s="17" t="n">
        <x:v>45566</x:v>
      </x:c>
      <x:c r="C292" t="str">
        <x:v>Символ</x:v>
      </x:c>
      <x:c r="D292" s="14" t="n">
        <x:v>15</x:v>
      </x:c>
      <x:c r="E292" s="20" t="n">
        <x:v>981.4</x:v>
      </x:c>
      <x:c r="F292" s="20" t="n">
        <x:v>420923697</x:v>
      </x:c>
      <x:c r="G292" s="20" t="n">
        <x:v>29.1</x:v>
      </x:c>
      <x:c r="H292" s="20" t="n">
        <x:f>E292-G292</x:f>
        <x:v>952.3</x:v>
      </x:c>
    </x:row>
    <x:row r="293">
      <x:c r="A293" t="str">
        <x:v>45973</x:v>
      </x:c>
      <x:c r="B293" s="17" t="n">
        <x:v>45597</x:v>
      </x:c>
      <x:c r="C293" t="str">
        <x:v>Символ</x:v>
      </x:c>
      <x:c r="D293" s="14" t="n">
        <x:v>6</x:v>
      </x:c>
      <x:c r="E293" s="20" t="n">
        <x:v>485.9</x:v>
      </x:c>
      <x:c r="F293" s="20" t="n">
        <x:v>194402755</x:v>
      </x:c>
      <x:c r="G293" s="20" t="n">
        <x:v>0</x:v>
      </x:c>
      <x:c r="H293" s="20" t="n">
        <x:f>E293-G293</x:f>
        <x:v>485.9</x:v>
      </x:c>
    </x:row>
    <x:row r="294">
      <x:c r="A294" t="str">
        <x:v>45973</x:v>
      </x:c>
      <x:c r="B294" s="17" t="n">
        <x:v>45627</x:v>
      </x:c>
      <x:c r="C294" t="str">
        <x:v>Символ</x:v>
      </x:c>
      <x:c r="D294" s="14" t="n">
        <x:v>3</x:v>
      </x:c>
      <x:c r="E294" s="20" t="n">
        <x:v>144.5</x:v>
      </x:c>
      <x:c r="F294" s="20" t="n">
        <x:v>67193153</x:v>
      </x:c>
      <x:c r="G294" s="20" t="n">
        <x:v>0</x:v>
      </x:c>
      <x:c r="H294" s="20" t="n">
        <x:f>E294-G294</x:f>
        <x:v>144.5</x:v>
      </x:c>
    </x:row>
    <x:row r="295">
      <x:c r="A295" t="str">
        <x:v>45973</x:v>
      </x:c>
      <x:c r="B295" s="17" t="n">
        <x:v>45658</x:v>
      </x:c>
      <x:c r="C295" t="str">
        <x:v>Символ</x:v>
      </x:c>
      <x:c r="D295" s="14" t="n">
        <x:v>7</x:v>
      </x:c>
      <x:c r="E295" s="20" t="n">
        <x:v>517.5</x:v>
      </x:c>
      <x:c r="F295" s="20" t="n">
        <x:v>217443343</x:v>
      </x:c>
      <x:c r="G295" s="20" t="n">
        <x:v>0</x:v>
      </x:c>
      <x:c r="H295" s="20" t="n">
        <x:f>E295-G295</x:f>
        <x:v>517.5</x:v>
      </x:c>
    </x:row>
    <x:row r="296">
      <x:c r="A296" t="str">
        <x:v>45973</x:v>
      </x:c>
      <x:c r="B296" s="17" t="n">
        <x:v>45689</x:v>
      </x:c>
      <x:c r="C296" t="str">
        <x:v>Символ</x:v>
      </x:c>
      <x:c r="D296" s="14" t="n">
        <x:v>3</x:v>
      </x:c>
      <x:c r="E296" s="20" t="n">
        <x:v>217.5</x:v>
      </x:c>
      <x:c r="F296" s="20" t="n">
        <x:v>101716525</x:v>
      </x:c>
      <x:c r="G296" s="20" t="n">
        <x:v>0</x:v>
      </x:c>
      <x:c r="H296" s="20" t="n">
        <x:f>E296-G296</x:f>
        <x:v>217.5</x:v>
      </x:c>
    </x:row>
    <x:row r="297">
      <x:c r="A297" t="str">
        <x:v>45973</x:v>
      </x:c>
      <x:c r="B297" s="17" t="n">
        <x:v>45717</x:v>
      </x:c>
      <x:c r="C297" t="str">
        <x:v>Символ</x:v>
      </x:c>
      <x:c r="D297" s="14" t="n">
        <x:v>3</x:v>
      </x:c>
      <x:c r="E297" s="20" t="n">
        <x:v>176.7</x:v>
      </x:c>
      <x:c r="F297" s="20" t="n">
        <x:v>75920256</x:v>
      </x:c>
      <x:c r="G297" s="20" t="n">
        <x:v>0</x:v>
      </x:c>
      <x:c r="H297" s="20" t="n">
        <x:f>E297-G297</x:f>
        <x:v>176.7</x:v>
      </x:c>
    </x:row>
    <x:row r="298">
      <x:c r="A298" t="str">
        <x:v>45973</x:v>
      </x:c>
      <x:c r="B298" s="17" t="n">
        <x:v>45748</x:v>
      </x:c>
      <x:c r="C298" t="str">
        <x:v>Символ</x:v>
      </x:c>
      <x:c r="D298" s="14" t="n">
        <x:v>4</x:v>
      </x:c>
      <x:c r="E298" s="20" t="n">
        <x:v>280.3</x:v>
      </x:c>
      <x:c r="F298" s="20" t="n">
        <x:v>126828051</x:v>
      </x:c>
      <x:c r="G298" s="20" t="n">
        <x:v>0</x:v>
      </x:c>
      <x:c r="H298" s="20" t="n">
        <x:f>E298-G298</x:f>
        <x:v>280.3</x:v>
      </x:c>
    </x:row>
    <x:row r="299">
      <x:c r="A299" t="str">
        <x:v>45973</x:v>
      </x:c>
      <x:c r="B299" s="17" t="n">
        <x:v>45778</x:v>
      </x:c>
      <x:c r="C299" t="str">
        <x:v>Символ</x:v>
      </x:c>
      <x:c r="D299" s="14" t="n">
        <x:v>0</x:v>
      </x:c>
      <x:c r="E299" s="20" t="n">
        <x:v>0</x:v>
      </x:c>
      <x:c r="F299" s="20" t="n">
        <x:v>0</x:v>
      </x:c>
      <x:c r="G299" s="20" t="n">
        <x:v>145.5</x:v>
      </x:c>
      <x:c r="H299" s="20" t="n">
        <x:f>E299-G299</x:f>
        <x:v>-145.5</x:v>
      </x:c>
    </x:row>
    <x:row r="300">
      <x:c r="A300" t="str">
        <x:v>45973</x:v>
      </x:c>
      <x:c r="B300" s="17" t="n">
        <x:v>45809</x:v>
      </x:c>
      <x:c r="C300" t="str">
        <x:v>Символ</x:v>
      </x:c>
      <x:c r="D300" s="14" t="n">
        <x:v>1</x:v>
      </x:c>
      <x:c r="E300" s="20" t="n">
        <x:v>41.6</x:v>
      </x:c>
      <x:c r="F300" s="20" t="n">
        <x:v>22608688</x:v>
      </x:c>
      <x:c r="G300" s="20" t="n">
        <x:v>0</x:v>
      </x:c>
      <x:c r="H300" s="20" t="n">
        <x:f>E300-G300</x:f>
        <x:v>41.6</x:v>
      </x:c>
    </x:row>
    <x:row r="301">
      <x:c r="A301" t="str">
        <x:v>45973</x:v>
      </x:c>
      <x:c r="B301" s="17" t="n">
        <x:v>45839</x:v>
      </x:c>
      <x:c r="C301" t="str">
        <x:v>Символ</x:v>
      </x:c>
      <x:c r="D301" s="14" t="n">
        <x:v>714</x:v>
      </x:c>
      <x:c r="E301" s="20" t="n">
        <x:v>40861.5</x:v>
      </x:c>
      <x:c r="F301" s="20" t="n">
        <x:v>16157191260</x:v>
      </x:c>
      <x:c r="G301" s="20" t="n">
        <x:v>94.6</x:v>
      </x:c>
      <x:c r="H301" s="20" t="n">
        <x:f>E301-G301</x:f>
        <x:v>40766.9</x:v>
      </x:c>
    </x:row>
    <x:row r="302">
      <x:c r="A302" t="str">
        <x:v>45973</x:v>
      </x:c>
      <x:c r="B302" s="17" t="n">
        <x:v>45870</x:v>
      </x:c>
      <x:c r="C302" t="str">
        <x:v>Символ</x:v>
      </x:c>
      <x:c r="D302" s="14" t="n">
        <x:v>2</x:v>
      </x:c>
      <x:c r="E302" s="20" t="n">
        <x:v>152</x:v>
      </x:c>
      <x:c r="F302" s="20" t="n">
        <x:v>66883360</x:v>
      </x:c>
      <x:c r="G302" s="20" t="n">
        <x:v>0</x:v>
      </x:c>
      <x:c r="H302" s="20" t="n">
        <x:f>E302-G302</x:f>
        <x:v>152</x:v>
      </x:c>
    </x:row>
    <x:row r="303">
      <x:c r="A303" t="str">
        <x:v>45973</x:v>
      </x:c>
      <x:c r="B303" s="17" t="n">
        <x:v>45901</x:v>
      </x:c>
      <x:c r="C303" t="str">
        <x:v>Символ</x:v>
      </x:c>
      <x:c r="D303" s="14" t="n">
        <x:v>3</x:v>
      </x:c>
      <x:c r="E303" s="20" t="n">
        <x:v>185.2</x:v>
      </x:c>
      <x:c r="F303" s="20" t="n">
        <x:v>90863104</x:v>
      </x:c>
      <x:c r="G303" s="20" t="n">
        <x:v>71.4</x:v>
      </x:c>
      <x:c r="H303" s="20" t="n">
        <x:f>E303-G303</x:f>
        <x:v>113.79999999999998</x:v>
      </x:c>
    </x:row>
    <x:row r="304">
      <x:c r="A304" t="str">
        <x:v>45973</x:v>
      </x:c>
      <x:c r="B304" s="17" t="n">
        <x:v>45931</x:v>
      </x:c>
      <x:c r="C304" t="str">
        <x:v>Символ</x:v>
      </x:c>
      <x:c r="D304" s="14" t="n">
        <x:v>1</x:v>
      </x:c>
      <x:c r="E304" s="20" t="n">
        <x:v>62.9</x:v>
      </x:c>
      <x:c r="F304" s="20" t="n">
        <x:v>33854100</x:v>
      </x:c>
      <x:c r="G304" s="20" t="n">
        <x:v>66.6</x:v>
      </x:c>
      <x:c r="H304" s="20" t="n">
        <x:f>E304-G304</x:f>
        <x:v>-3.6999999999999957</x:v>
      </x:c>
    </x:row>
    <x:row r="305">
      <x:c r="A305" t="str">
        <x:v>45973</x:v>
      </x:c>
      <x:c r="B305" s="17" t="n">
        <x:v>45962</x:v>
      </x:c>
      <x:c r="C305" t="str">
        <x:v>Символ</x:v>
      </x:c>
      <x:c r="D305" s="14" t="n">
        <x:v>2</x:v>
      </x:c>
      <x:c r="E305" s="20" t="n">
        <x:v>136.6</x:v>
      </x:c>
      <x:c r="F305" s="20" t="n">
        <x:v>68182026</x:v>
      </x:c>
      <x:c r="G305" s="20" t="n">
        <x:v>28.8</x:v>
      </x:c>
      <x:c r="H305" s="20" t="n">
        <x:f>E305-G305</x:f>
        <x:v>107.8</x:v>
      </x:c>
    </x:row>
    <x:row r="306">
      <x:c r="A306" t="str">
        <x:v>46278</x:v>
      </x:c>
      <x:c r="B306" s="17" t="n">
        <x:v>44896</x:v>
      </x:c>
      <x:c r="C306" t="str">
        <x:v>СберСити</x:v>
      </x:c>
      <x:c r="D306" s="14" t="n">
        <x:v>1</x:v>
      </x:c>
      <x:c r="E306" s="20" t="n">
        <x:v>48.56</x:v>
      </x:c>
      <x:c r="F306" s="20" t="n">
        <x:v>18642821</x:v>
      </x:c>
      <x:c r="G306" s="20" t="n">
        <x:v>0</x:v>
      </x:c>
      <x:c r="H306" s="20" t="n">
        <x:f>E306-G306</x:f>
        <x:v>48.56</x:v>
      </x:c>
    </x:row>
    <x:row r="307">
      <x:c r="A307" t="str">
        <x:v>46278</x:v>
      </x:c>
      <x:c r="B307" s="17" t="n">
        <x:v>44927</x:v>
      </x:c>
      <x:c r="C307" t="str">
        <x:v>СберСити</x:v>
      </x:c>
      <x:c r="D307" s="14" t="n">
        <x:v>2</x:v>
      </x:c>
      <x:c r="E307" s="20" t="n">
        <x:v>159.78</x:v>
      </x:c>
      <x:c r="F307" s="20" t="n">
        <x:v>51006427</x:v>
      </x:c>
      <x:c r="G307" s="20" t="n">
        <x:v>48.56</x:v>
      </x:c>
      <x:c r="H307" s="20" t="n">
        <x:f>E307-G307</x:f>
        <x:v>111.22</x:v>
      </x:c>
    </x:row>
    <x:row r="308">
      <x:c r="A308" t="str">
        <x:v>46278</x:v>
      </x:c>
      <x:c r="B308" s="17" t="n">
        <x:v>44958</x:v>
      </x:c>
      <x:c r="C308" t="str">
        <x:v>СберСити</x:v>
      </x:c>
      <x:c r="D308" s="14" t="n">
        <x:v>5</x:v>
      </x:c>
      <x:c r="E308" s="20" t="n">
        <x:v>337.48</x:v>
      </x:c>
      <x:c r="F308" s="20" t="n">
        <x:v>119802373</x:v>
      </x:c>
      <x:c r="G308" s="20" t="n">
        <x:v>0</x:v>
      </x:c>
      <x:c r="H308" s="20" t="n">
        <x:f>E308-G308</x:f>
        <x:v>337.48</x:v>
      </x:c>
    </x:row>
    <x:row r="309">
      <x:c r="A309" t="str">
        <x:v>46278</x:v>
      </x:c>
      <x:c r="B309" s="17" t="n">
        <x:v>44986</x:v>
      </x:c>
      <x:c r="C309" t="str">
        <x:v>СберСити</x:v>
      </x:c>
      <x:c r="D309" s="14" t="n">
        <x:v>3</x:v>
      </x:c>
      <x:c r="E309" s="20" t="n">
        <x:v>194.34</x:v>
      </x:c>
      <x:c r="F309" s="20" t="n">
        <x:v>68921605</x:v>
      </x:c>
      <x:c r="G309" s="20" t="n">
        <x:v>0</x:v>
      </x:c>
      <x:c r="H309" s="20" t="n">
        <x:f>E309-G309</x:f>
        <x:v>194.34</x:v>
      </x:c>
    </x:row>
    <x:row r="310">
      <x:c r="A310" t="str">
        <x:v>46278</x:v>
      </x:c>
      <x:c r="B310" s="17" t="n">
        <x:v>45017</x:v>
      </x:c>
      <x:c r="C310" t="str">
        <x:v>СберСити</x:v>
      </x:c>
      <x:c r="D310" s="14" t="n">
        <x:v>2</x:v>
      </x:c>
      <x:c r="E310" s="20" t="n">
        <x:v>103.62</x:v>
      </x:c>
      <x:c r="F310" s="20" t="n">
        <x:v>38149926</x:v>
      </x:c>
      <x:c r="G310" s="20" t="n">
        <x:v>0</x:v>
      </x:c>
      <x:c r="H310" s="20" t="n">
        <x:f>E310-G310</x:f>
        <x:v>103.62</x:v>
      </x:c>
    </x:row>
    <x:row r="311">
      <x:c r="A311" t="str">
        <x:v>46278</x:v>
      </x:c>
      <x:c r="B311" s="17" t="n">
        <x:v>45047</x:v>
      </x:c>
      <x:c r="C311" t="str">
        <x:v>СберСити</x:v>
      </x:c>
      <x:c r="D311" s="14" t="n">
        <x:v>1</x:v>
      </x:c>
      <x:c r="E311" s="20" t="n">
        <x:v>71.26</x:v>
      </x:c>
      <x:c r="F311" s="20" t="n">
        <x:v>23293354</x:v>
      </x:c>
      <x:c r="G311" s="20" t="n">
        <x:v>0</x:v>
      </x:c>
      <x:c r="H311" s="20" t="n">
        <x:f>E311-G311</x:f>
        <x:v>71.26</x:v>
      </x:c>
    </x:row>
    <x:row r="312">
      <x:c r="A312" t="str">
        <x:v>46278</x:v>
      </x:c>
      <x:c r="B312" s="17" t="n">
        <x:v>45078</x:v>
      </x:c>
      <x:c r="C312" t="str">
        <x:v>СберСити</x:v>
      </x:c>
      <x:c r="D312" s="14" t="n">
        <x:v>3</x:v>
      </x:c>
      <x:c r="E312" s="20" t="n">
        <x:v>166.72</x:v>
      </x:c>
      <x:c r="F312" s="20" t="n">
        <x:v>63221664</x:v>
      </x:c>
      <x:c r="G312" s="20" t="n">
        <x:v>0</x:v>
      </x:c>
      <x:c r="H312" s="20" t="n">
        <x:f>E312-G312</x:f>
        <x:v>166.72</x:v>
      </x:c>
    </x:row>
    <x:row r="313">
      <x:c r="A313" t="str">
        <x:v>46278</x:v>
      </x:c>
      <x:c r="B313" s="17" t="n">
        <x:v>45108</x:v>
      </x:c>
      <x:c r="C313" t="str">
        <x:v>СберСити</x:v>
      </x:c>
      <x:c r="D313" s="14" t="n">
        <x:v>3</x:v>
      </x:c>
      <x:c r="E313" s="20" t="n">
        <x:v>171.75</x:v>
      </x:c>
      <x:c r="F313" s="20" t="n">
        <x:v>67226084</x:v>
      </x:c>
      <x:c r="G313" s="20" t="n">
        <x:v>0</x:v>
      </x:c>
      <x:c r="H313" s="20" t="n">
        <x:f>E313-G313</x:f>
        <x:v>171.75</x:v>
      </x:c>
    </x:row>
    <x:row r="314">
      <x:c r="A314" t="str">
        <x:v>46278</x:v>
      </x:c>
      <x:c r="B314" s="17" t="n">
        <x:v>45139</x:v>
      </x:c>
      <x:c r="C314" t="str">
        <x:v>СберСити</x:v>
      </x:c>
      <x:c r="D314" s="14" t="n">
        <x:v>7</x:v>
      </x:c>
      <x:c r="E314" s="20" t="n">
        <x:v>473.43</x:v>
      </x:c>
      <x:c r="F314" s="20" t="n">
        <x:v>178407203</x:v>
      </x:c>
      <x:c r="G314" s="20" t="n">
        <x:v>0</x:v>
      </x:c>
      <x:c r="H314" s="20" t="n">
        <x:f>E314-G314</x:f>
        <x:v>473.43</x:v>
      </x:c>
    </x:row>
    <x:row r="315">
      <x:c r="A315" t="str">
        <x:v>46278</x:v>
      </x:c>
      <x:c r="B315" s="17" t="n">
        <x:v>45170</x:v>
      </x:c>
      <x:c r="C315" t="str">
        <x:v>СберСити</x:v>
      </x:c>
      <x:c r="D315" s="14" t="n">
        <x:v>7</x:v>
      </x:c>
      <x:c r="E315" s="20" t="n">
        <x:v>442.51</x:v>
      </x:c>
      <x:c r="F315" s="20" t="n">
        <x:v>173035490</x:v>
      </x:c>
      <x:c r="G315" s="20" t="n">
        <x:v>0</x:v>
      </x:c>
      <x:c r="H315" s="20" t="n">
        <x:f>E315-G315</x:f>
        <x:v>442.51</x:v>
      </x:c>
    </x:row>
    <x:row r="316">
      <x:c r="A316" t="str">
        <x:v>46278</x:v>
      </x:c>
      <x:c r="B316" s="17" t="n">
        <x:v>45200</x:v>
      </x:c>
      <x:c r="C316" t="str">
        <x:v>СберСити</x:v>
      </x:c>
      <x:c r="D316" s="14" t="n">
        <x:v>2</x:v>
      </x:c>
      <x:c r="E316" s="20" t="n">
        <x:v>148.23</x:v>
      </x:c>
      <x:c r="F316" s="20" t="n">
        <x:v>57205181</x:v>
      </x:c>
      <x:c r="G316" s="20" t="n">
        <x:v>0</x:v>
      </x:c>
      <x:c r="H316" s="20" t="n">
        <x:f>E316-G316</x:f>
        <x:v>148.23</x:v>
      </x:c>
    </x:row>
    <x:row r="317">
      <x:c r="A317" t="str">
        <x:v>46278</x:v>
      </x:c>
      <x:c r="B317" s="17" t="n">
        <x:v>45231</x:v>
      </x:c>
      <x:c r="C317" t="str">
        <x:v>СберСити</x:v>
      </x:c>
      <x:c r="D317" s="14" t="n">
        <x:v>1</x:v>
      </x:c>
      <x:c r="E317" s="20" t="n">
        <x:v>113.63</x:v>
      </x:c>
      <x:c r="F317" s="20" t="n">
        <x:v>37941057</x:v>
      </x:c>
      <x:c r="G317" s="20" t="n">
        <x:v>0</x:v>
      </x:c>
      <x:c r="H317" s="20" t="n">
        <x:f>E317-G317</x:f>
        <x:v>113.63</x:v>
      </x:c>
    </x:row>
    <x:row r="318">
      <x:c r="A318" t="str">
        <x:v>46278</x:v>
      </x:c>
      <x:c r="B318" s="17" t="n">
        <x:v>45261</x:v>
      </x:c>
      <x:c r="C318" t="str">
        <x:v>СберСити</x:v>
      </x:c>
      <x:c r="D318" s="14" t="n">
        <x:v>0</x:v>
      </x:c>
      <x:c r="E318" s="20" t="n">
        <x:v>0</x:v>
      </x:c>
      <x:c r="F318" s="20" t="n">
        <x:v>0</x:v>
      </x:c>
      <x:c r="G318" s="20" t="n">
        <x:v>0</x:v>
      </x:c>
      <x:c r="H318" s="20" t="n">
        <x:f>E318-G318</x:f>
        <x:v>0</x:v>
      </x:c>
    </x:row>
    <x:row r="319">
      <x:c r="A319" t="str">
        <x:v>46278</x:v>
      </x:c>
      <x:c r="B319" s="17" t="n">
        <x:v>45292</x:v>
      </x:c>
      <x:c r="C319" t="str">
        <x:v>СберСити</x:v>
      </x:c>
      <x:c r="D319" s="14" t="n">
        <x:v>0</x:v>
      </x:c>
      <x:c r="E319" s="20" t="n">
        <x:v>0</x:v>
      </x:c>
      <x:c r="F319" s="20" t="n">
        <x:v>0</x:v>
      </x:c>
      <x:c r="G319" s="20" t="n">
        <x:v>0</x:v>
      </x:c>
      <x:c r="H319" s="20" t="n">
        <x:f>E319-G319</x:f>
        <x:v>0</x:v>
      </x:c>
    </x:row>
    <x:row r="320">
      <x:c r="A320" t="str">
        <x:v>46278</x:v>
      </x:c>
      <x:c r="B320" s="17" t="n">
        <x:v>45323</x:v>
      </x:c>
      <x:c r="C320" t="str">
        <x:v>СберСити</x:v>
      </x:c>
      <x:c r="D320" s="14" t="n">
        <x:v>0</x:v>
      </x:c>
      <x:c r="E320" s="20" t="n">
        <x:v>0</x:v>
      </x:c>
      <x:c r="F320" s="20" t="n">
        <x:v>0</x:v>
      </x:c>
      <x:c r="G320" s="20" t="n">
        <x:v>0</x:v>
      </x:c>
      <x:c r="H320" s="20" t="n">
        <x:f>E320-G320</x:f>
        <x:v>0</x:v>
      </x:c>
    </x:row>
    <x:row r="321">
      <x:c r="A321" t="str">
        <x:v>46278</x:v>
      </x:c>
      <x:c r="B321" s="17" t="n">
        <x:v>45352</x:v>
      </x:c>
      <x:c r="C321" t="str">
        <x:v>СберСити</x:v>
      </x:c>
      <x:c r="D321" s="14" t="n">
        <x:v>0</x:v>
      </x:c>
      <x:c r="E321" s="20" t="n">
        <x:v>0</x:v>
      </x:c>
      <x:c r="F321" s="20" t="n">
        <x:v>0</x:v>
      </x:c>
      <x:c r="G321" s="20" t="n">
        <x:v>0</x:v>
      </x:c>
      <x:c r="H321" s="20" t="n">
        <x:f>E321-G321</x:f>
        <x:v>0</x:v>
      </x:c>
    </x:row>
    <x:row r="322">
      <x:c r="A322" t="str">
        <x:v>46278</x:v>
      </x:c>
      <x:c r="B322" s="17" t="n">
        <x:v>45383</x:v>
      </x:c>
      <x:c r="C322" t="str">
        <x:v>СберСити</x:v>
      </x:c>
      <x:c r="D322" s="14" t="n">
        <x:v>0</x:v>
      </x:c>
      <x:c r="E322" s="20" t="n">
        <x:v>0</x:v>
      </x:c>
      <x:c r="F322" s="20" t="n">
        <x:v>0</x:v>
      </x:c>
      <x:c r="G322" s="20" t="n">
        <x:v>0</x:v>
      </x:c>
      <x:c r="H322" s="20" t="n">
        <x:f>E322-G322</x:f>
        <x:v>0</x:v>
      </x:c>
    </x:row>
    <x:row r="323">
      <x:c r="A323" t="str">
        <x:v>46278</x:v>
      </x:c>
      <x:c r="B323" s="17" t="n">
        <x:v>45413</x:v>
      </x:c>
      <x:c r="C323" t="str">
        <x:v>СберСити</x:v>
      </x:c>
      <x:c r="D323" s="14" t="n">
        <x:v>0</x:v>
      </x:c>
      <x:c r="E323" s="20" t="n">
        <x:v>0</x:v>
      </x:c>
      <x:c r="F323" s="20" t="n">
        <x:v>0</x:v>
      </x:c>
      <x:c r="G323" s="20" t="n">
        <x:v>0</x:v>
      </x:c>
      <x:c r="H323" s="20" t="n">
        <x:f>E323-G323</x:f>
        <x:v>0</x:v>
      </x:c>
    </x:row>
    <x:row r="324">
      <x:c r="A324" t="str">
        <x:v>46278</x:v>
      </x:c>
      <x:c r="B324" s="17" t="n">
        <x:v>45444</x:v>
      </x:c>
      <x:c r="C324" t="str">
        <x:v>СберСити</x:v>
      </x:c>
      <x:c r="D324" s="14" t="n">
        <x:v>0</x:v>
      </x:c>
      <x:c r="E324" s="20" t="n">
        <x:v>0</x:v>
      </x:c>
      <x:c r="F324" s="20" t="n">
        <x:v>0</x:v>
      </x:c>
      <x:c r="G324" s="20" t="n">
        <x:v>0</x:v>
      </x:c>
      <x:c r="H324" s="20" t="n">
        <x:f>E324-G324</x:f>
        <x:v>0</x:v>
      </x:c>
    </x:row>
    <x:row r="325">
      <x:c r="A325" t="str">
        <x:v>46278</x:v>
      </x:c>
      <x:c r="B325" s="17" t="n">
        <x:v>45474</x:v>
      </x:c>
      <x:c r="C325" t="str">
        <x:v>СберСити</x:v>
      </x:c>
      <x:c r="D325" s="14" t="n">
        <x:v>0</x:v>
      </x:c>
      <x:c r="E325" s="20" t="n">
        <x:v>0</x:v>
      </x:c>
      <x:c r="F325" s="20" t="n">
        <x:v>0</x:v>
      </x:c>
      <x:c r="G325" s="20" t="n">
        <x:v>0</x:v>
      </x:c>
      <x:c r="H325" s="20" t="n">
        <x:f>E325-G325</x:f>
        <x:v>0</x:v>
      </x:c>
    </x:row>
    <x:row r="326">
      <x:c r="A326" t="str">
        <x:v>46278</x:v>
      </x:c>
      <x:c r="B326" s="17" t="n">
        <x:v>45505</x:v>
      </x:c>
      <x:c r="C326" t="str">
        <x:v>СберСити</x:v>
      </x:c>
      <x:c r="D326" s="14" t="n">
        <x:v>0</x:v>
      </x:c>
      <x:c r="E326" s="20" t="n">
        <x:v>0</x:v>
      </x:c>
      <x:c r="F326" s="20" t="n">
        <x:v>0</x:v>
      </x:c>
      <x:c r="G326" s="20" t="n">
        <x:v>0</x:v>
      </x:c>
      <x:c r="H326" s="20" t="n">
        <x:f>E326-G326</x:f>
        <x:v>0</x:v>
      </x:c>
    </x:row>
    <x:row r="327">
      <x:c r="A327" t="str">
        <x:v>46278</x:v>
      </x:c>
      <x:c r="B327" s="17" t="n">
        <x:v>45536</x:v>
      </x:c>
      <x:c r="C327" t="str">
        <x:v>СберСити</x:v>
      </x:c>
      <x:c r="D327" s="14" t="n">
        <x:v>0</x:v>
      </x:c>
      <x:c r="E327" s="20" t="n">
        <x:v>0</x:v>
      </x:c>
      <x:c r="F327" s="20" t="n">
        <x:v>0</x:v>
      </x:c>
      <x:c r="G327" s="20" t="n">
        <x:v>0</x:v>
      </x:c>
      <x:c r="H327" s="20" t="n">
        <x:f>E327-G327</x:f>
        <x:v>0</x:v>
      </x:c>
    </x:row>
    <x:row r="328">
      <x:c r="A328" t="str">
        <x:v>46278</x:v>
      </x:c>
      <x:c r="B328" s="17" t="n">
        <x:v>45566</x:v>
      </x:c>
      <x:c r="C328" t="str">
        <x:v>СберСити</x:v>
      </x:c>
      <x:c r="D328" s="14" t="n">
        <x:v>0</x:v>
      </x:c>
      <x:c r="E328" s="20" t="n">
        <x:v>0</x:v>
      </x:c>
      <x:c r="F328" s="20" t="n">
        <x:v>0</x:v>
      </x:c>
      <x:c r="G328" s="20" t="n">
        <x:v>0</x:v>
      </x:c>
      <x:c r="H328" s="20" t="n">
        <x:f>E328-G328</x:f>
        <x:v>0</x:v>
      </x:c>
    </x:row>
    <x:row r="329">
      <x:c r="A329" t="str">
        <x:v>46278</x:v>
      </x:c>
      <x:c r="B329" s="17" t="n">
        <x:v>45597</x:v>
      </x:c>
      <x:c r="C329" t="str">
        <x:v>СберСити</x:v>
      </x:c>
      <x:c r="D329" s="14" t="n">
        <x:v>0</x:v>
      </x:c>
      <x:c r="E329" s="20" t="n">
        <x:v>0</x:v>
      </x:c>
      <x:c r="F329" s="20" t="n">
        <x:v>0</x:v>
      </x:c>
      <x:c r="G329" s="20" t="n">
        <x:v>0</x:v>
      </x:c>
      <x:c r="H329" s="20" t="n">
        <x:f>E329-G329</x:f>
        <x:v>0</x:v>
      </x:c>
    </x:row>
    <x:row r="330">
      <x:c r="A330" t="str">
        <x:v>46278</x:v>
      </x:c>
      <x:c r="B330" s="17" t="n">
        <x:v>45627</x:v>
      </x:c>
      <x:c r="C330" t="str">
        <x:v>СберСити</x:v>
      </x:c>
      <x:c r="D330" s="14" t="n">
        <x:v>0</x:v>
      </x:c>
      <x:c r="E330" s="20" t="n">
        <x:v>0</x:v>
      </x:c>
      <x:c r="F330" s="20" t="n">
        <x:v>0</x:v>
      </x:c>
      <x:c r="G330" s="20" t="n">
        <x:v>0</x:v>
      </x:c>
      <x:c r="H330" s="20" t="n">
        <x:f>E330-G330</x:f>
        <x:v>0</x:v>
      </x:c>
    </x:row>
    <x:row r="331">
      <x:c r="A331" t="str">
        <x:v>46278</x:v>
      </x:c>
      <x:c r="B331" s="17" t="n">
        <x:v>45658</x:v>
      </x:c>
      <x:c r="C331" t="str">
        <x:v>СберСити</x:v>
      </x:c>
      <x:c r="D331" s="14" t="n">
        <x:v>0</x:v>
      </x:c>
      <x:c r="E331" s="20" t="n">
        <x:v>0</x:v>
      </x:c>
      <x:c r="F331" s="20" t="n">
        <x:v>0</x:v>
      </x:c>
      <x:c r="G331" s="20" t="n">
        <x:v>0</x:v>
      </x:c>
      <x:c r="H331" s="20" t="n">
        <x:f>E331-G331</x:f>
        <x:v>0</x:v>
      </x:c>
    </x:row>
    <x:row r="332">
      <x:c r="A332" t="str">
        <x:v>46278</x:v>
      </x:c>
      <x:c r="B332" s="17" t="n">
        <x:v>45689</x:v>
      </x:c>
      <x:c r="C332" t="str">
        <x:v>СберСити</x:v>
      </x:c>
      <x:c r="D332" s="14" t="n">
        <x:v>0</x:v>
      </x:c>
      <x:c r="E332" s="20" t="n">
        <x:v>0</x:v>
      </x:c>
      <x:c r="F332" s="20" t="n">
        <x:v>0</x:v>
      </x:c>
      <x:c r="G332" s="20" t="n">
        <x:v>0</x:v>
      </x:c>
      <x:c r="H332" s="20" t="n">
        <x:f>E332-G332</x:f>
        <x:v>0</x:v>
      </x:c>
    </x:row>
    <x:row r="333">
      <x:c r="A333" t="str">
        <x:v>46278</x:v>
      </x:c>
      <x:c r="B333" s="17" t="n">
        <x:v>45717</x:v>
      </x:c>
      <x:c r="C333" t="str">
        <x:v>СберСити</x:v>
      </x:c>
      <x:c r="D333" s="14" t="n">
        <x:v>0</x:v>
      </x:c>
      <x:c r="E333" s="20" t="n">
        <x:v>0</x:v>
      </x:c>
      <x:c r="F333" s="20" t="n">
        <x:v>0</x:v>
      </x:c>
      <x:c r="G333" s="20" t="n">
        <x:v>0</x:v>
      </x:c>
      <x:c r="H333" s="20" t="n">
        <x:f>E333-G333</x:f>
        <x:v>0</x:v>
      </x:c>
    </x:row>
    <x:row r="334">
      <x:c r="A334" t="str">
        <x:v>46278</x:v>
      </x:c>
      <x:c r="B334" s="17" t="n">
        <x:v>45748</x:v>
      </x:c>
      <x:c r="C334" t="str">
        <x:v>СберСити</x:v>
      </x:c>
      <x:c r="D334" s="14" t="n">
        <x:v>0</x:v>
      </x:c>
      <x:c r="E334" s="20" t="n">
        <x:v>0</x:v>
      </x:c>
      <x:c r="F334" s="20" t="n">
        <x:v>0</x:v>
      </x:c>
      <x:c r="G334" s="20" t="n">
        <x:v>0</x:v>
      </x:c>
      <x:c r="H334" s="20" t="n">
        <x:f>E334-G334</x:f>
        <x:v>0</x:v>
      </x:c>
    </x:row>
    <x:row r="335">
      <x:c r="A335" t="str">
        <x:v>46278</x:v>
      </x:c>
      <x:c r="B335" s="17" t="n">
        <x:v>45778</x:v>
      </x:c>
      <x:c r="C335" t="str">
        <x:v>СберСити</x:v>
      </x:c>
      <x:c r="D335" s="14" t="n">
        <x:v>0</x:v>
      </x:c>
      <x:c r="E335" s="20" t="n">
        <x:v>0</x:v>
      </x:c>
      <x:c r="F335" s="20" t="n">
        <x:v>0</x:v>
      </x:c>
      <x:c r="G335" s="20" t="n">
        <x:v>0</x:v>
      </x:c>
      <x:c r="H335" s="20" t="n">
        <x:f>E335-G335</x:f>
        <x:v>0</x:v>
      </x:c>
    </x:row>
    <x:row r="336">
      <x:c r="A336" t="str">
        <x:v>46278</x:v>
      </x:c>
      <x:c r="B336" s="17" t="n">
        <x:v>45809</x:v>
      </x:c>
      <x:c r="C336" t="str">
        <x:v>СберСити</x:v>
      </x:c>
      <x:c r="D336" s="14" t="n">
        <x:v>0</x:v>
      </x:c>
      <x:c r="E336" s="20" t="n">
        <x:v>0</x:v>
      </x:c>
      <x:c r="F336" s="20" t="n">
        <x:v>0</x:v>
      </x:c>
      <x:c r="G336" s="20" t="n">
        <x:v>0</x:v>
      </x:c>
      <x:c r="H336" s="20" t="n">
        <x:f>E336-G336</x:f>
        <x:v>0</x:v>
      </x:c>
    </x:row>
    <x:row r="337">
      <x:c r="A337" t="str">
        <x:v>46278</x:v>
      </x:c>
      <x:c r="B337" s="17" t="n">
        <x:v>45839</x:v>
      </x:c>
      <x:c r="C337" t="str">
        <x:v>СберСити</x:v>
      </x:c>
      <x:c r="D337" s="14" t="n">
        <x:v>100</x:v>
      </x:c>
      <x:c r="E337" s="20" t="n">
        <x:v>6935.6</x:v>
      </x:c>
      <x:c r="F337" s="20" t="n">
        <x:v>2244258276</x:v>
      </x:c>
      <x:c r="G337" s="20" t="n">
        <x:v>0</x:v>
      </x:c>
      <x:c r="H337" s="20" t="n">
        <x:f>E337-G337</x:f>
        <x:v>6935.6</x:v>
      </x:c>
    </x:row>
    <x:row r="338">
      <x:c r="A338" t="str">
        <x:v>46278</x:v>
      </x:c>
      <x:c r="B338" s="17" t="n">
        <x:v>45870</x:v>
      </x:c>
      <x:c r="C338" t="str">
        <x:v>СберСити</x:v>
      </x:c>
      <x:c r="D338" s="14" t="n">
        <x:v>0</x:v>
      </x:c>
      <x:c r="E338" s="20" t="n">
        <x:v>0</x:v>
      </x:c>
      <x:c r="F338" s="20" t="n">
        <x:v>0</x:v>
      </x:c>
      <x:c r="G338" s="20" t="n">
        <x:v>0</x:v>
      </x:c>
      <x:c r="H338" s="20" t="n">
        <x:f>E338-G338</x:f>
        <x:v>0</x:v>
      </x:c>
    </x:row>
    <x:row r="339">
      <x:c r="A339" t="str">
        <x:v>46278</x:v>
      </x:c>
      <x:c r="B339" s="17" t="n">
        <x:v>45901</x:v>
      </x:c>
      <x:c r="C339" t="str">
        <x:v>СберСити</x:v>
      </x:c>
      <x:c r="D339" s="14" t="n">
        <x:v>0</x:v>
      </x:c>
      <x:c r="E339" s="20" t="n">
        <x:v>0</x:v>
      </x:c>
      <x:c r="F339" s="20" t="n">
        <x:v>0</x:v>
      </x:c>
      <x:c r="G339" s="20" t="n">
        <x:v>0</x:v>
      </x:c>
      <x:c r="H339" s="20" t="n">
        <x:f>E339-G339</x:f>
        <x:v>0</x:v>
      </x:c>
    </x:row>
    <x:row r="340">
      <x:c r="A340" t="str">
        <x:v>46278</x:v>
      </x:c>
      <x:c r="B340" s="17" t="n">
        <x:v>45931</x:v>
      </x:c>
      <x:c r="C340" t="str">
        <x:v>СберСити</x:v>
      </x:c>
      <x:c r="D340" s="14" t="n">
        <x:v>0</x:v>
      </x:c>
      <x:c r="E340" s="20" t="n">
        <x:v>0</x:v>
      </x:c>
      <x:c r="F340" s="20" t="n">
        <x:v>0</x:v>
      </x:c>
      <x:c r="G340" s="20" t="n">
        <x:v>0</x:v>
      </x:c>
      <x:c r="H340" s="20" t="n">
        <x:f>E340-G340</x:f>
        <x:v>0</x:v>
      </x:c>
    </x:row>
    <x:row r="341">
      <x:c r="A341" t="str">
        <x:v>46278</x:v>
      </x:c>
      <x:c r="B341" s="17" t="n">
        <x:v>45962</x:v>
      </x:c>
      <x:c r="C341" t="str">
        <x:v>СберСити</x:v>
      </x:c>
      <x:c r="D341" s="14" t="n">
        <x:v>0</x:v>
      </x:c>
      <x:c r="E341" s="20" t="n">
        <x:v>0</x:v>
      </x:c>
      <x:c r="F341" s="20" t="n">
        <x:v>0</x:v>
      </x:c>
      <x:c r="G341" s="20" t="n">
        <x:v>0</x:v>
      </x:c>
      <x:c r="H341" s="20" t="n">
        <x:f>E341-G341</x:f>
        <x:v>0</x:v>
      </x:c>
    </x:row>
    <x:row r="342">
      <x:c r="A342" t="str">
        <x:v>46278</x:v>
      </x:c>
      <x:c r="B342" s="17" t="n">
        <x:v>45992</x:v>
      </x:c>
      <x:c r="C342" t="str">
        <x:v>СберСити</x:v>
      </x:c>
      <x:c r="D342" s="14" t="n">
        <x:v>0</x:v>
      </x:c>
      <x:c r="E342" s="20" t="n">
        <x:v>0</x:v>
      </x:c>
      <x:c r="F342" s="20" t="n">
        <x:v>0</x:v>
      </x:c>
      <x:c r="G342" s="20" t="n">
        <x:v>0</x:v>
      </x:c>
      <x:c r="H342" s="20" t="n">
        <x:f>E342-G342</x:f>
        <x:v>0</x:v>
      </x:c>
    </x:row>
    <x:row r="343">
      <x:c r="A343" t="str">
        <x:v>46278</x:v>
      </x:c>
      <x:c r="B343" s="17" t="n">
        <x:v>46023</x:v>
      </x:c>
      <x:c r="C343" t="str">
        <x:v>СберСити</x:v>
      </x:c>
      <x:c r="D343" s="14" t="n">
        <x:v>0</x:v>
      </x:c>
      <x:c r="E343" s="20" t="n">
        <x:v>0</x:v>
      </x:c>
      <x:c r="F343" s="20" t="n">
        <x:v>0</x:v>
      </x:c>
      <x:c r="G343" s="20" t="n">
        <x:v>0</x:v>
      </x:c>
      <x:c r="H343" s="20" t="n">
        <x:f>E343-G343</x:f>
        <x:v>0</x:v>
      </x:c>
    </x:row>
    <x:row r="344">
      <x:c r="A344" t="str">
        <x:v>46278</x:v>
      </x:c>
      <x:c r="B344" s="17" t="n">
        <x:v>46054</x:v>
      </x:c>
      <x:c r="C344" t="str">
        <x:v>СберСити</x:v>
      </x:c>
      <x:c r="D344" s="14" t="n">
        <x:v>0</x:v>
      </x:c>
      <x:c r="E344" s="20" t="n">
        <x:v>0</x:v>
      </x:c>
      <x:c r="F344" s="20" t="n">
        <x:v>0</x:v>
      </x:c>
      <x:c r="G344" s="20" t="n">
        <x:v>0</x:v>
      </x:c>
      <x:c r="H344" s="20" t="n">
        <x:f>E344-G344</x:f>
        <x:v>0</x:v>
      </x:c>
    </x:row>
    <x:row r="345">
      <x:c r="A345" t="str">
        <x:v>46278</x:v>
      </x:c>
      <x:c r="B345" s="17" t="n">
        <x:v>46082</x:v>
      </x:c>
      <x:c r="C345" t="str">
        <x:v>СберСити</x:v>
      </x:c>
      <x:c r="D345" s="14" t="n">
        <x:v>0</x:v>
      </x:c>
      <x:c r="E345" s="20" t="n">
        <x:v>0</x:v>
      </x:c>
      <x:c r="F345" s="20" t="n">
        <x:v>0</x:v>
      </x:c>
      <x:c r="G345" s="20" t="n">
        <x:v>0</x:v>
      </x:c>
      <x:c r="H345" s="20" t="n">
        <x:f>E345-G345</x:f>
        <x:v>0</x:v>
      </x:c>
    </x:row>
    <x:row r="346">
      <x:c r="A346" t="str">
        <x:v>46278</x:v>
      </x:c>
      <x:c r="B346" s="17" t="n">
        <x:v>46113</x:v>
      </x:c>
      <x:c r="C346" t="str">
        <x:v>СберСити</x:v>
      </x:c>
      <x:c r="D346" s="14" t="n">
        <x:v>0</x:v>
      </x:c>
      <x:c r="E346" s="20" t="n">
        <x:v>0</x:v>
      </x:c>
      <x:c r="F346" s="20" t="n">
        <x:v>0</x:v>
      </x:c>
      <x:c r="G346" s="20" t="n">
        <x:v>0</x:v>
      </x:c>
      <x:c r="H346" s="20" t="n">
        <x:f>E346-G346</x:f>
        <x:v>0</x:v>
      </x:c>
    </x:row>
    <x:row r="347">
      <x:c r="A347" t="str">
        <x:v>46278</x:v>
      </x:c>
      <x:c r="B347" s="17" t="n">
        <x:v>46143</x:v>
      </x:c>
      <x:c r="C347" t="str">
        <x:v>СберСити</x:v>
      </x:c>
      <x:c r="D347" s="14" t="n">
        <x:v>0</x:v>
      </x:c>
      <x:c r="E347" s="20" t="n">
        <x:v>0</x:v>
      </x:c>
      <x:c r="F347" s="20" t="n">
        <x:v>0</x:v>
      </x:c>
      <x:c r="G347" s="20" t="n">
        <x:v>0</x:v>
      </x:c>
      <x:c r="H347" s="20" t="n">
        <x:f>E347-G347</x:f>
        <x:v>0</x:v>
      </x:c>
    </x:row>
    <x:row r="348">
      <x:c r="A348" t="str">
        <x:v>49761</x:v>
      </x:c>
      <x:c r="B348" s="17" t="n">
        <x:v>44986</x:v>
      </x:c>
      <x:c r="C348" t="str">
        <x:v>Город на реке Тушино-2018 (реновация)</x:v>
      </x:c>
      <x:c r="D348" s="14" t="n">
        <x:v>962</x:v>
      </x:c>
      <x:c r="E348" s="20" t="n">
        <x:v>56166.9</x:v>
      </x:c>
      <x:c r="F348" s="20" t="n">
        <x:v>7225590850.5</x:v>
      </x:c>
      <x:c r="G348" s="20" t="n">
        <x:v>0</x:v>
      </x:c>
      <x:c r="H348" s="20" t="n">
        <x:f>E348-G348</x:f>
        <x:v>56166.9</x:v>
      </x:c>
    </x:row>
    <x:row r="349">
      <x:c r="A349" t="str">
        <x:v>49761</x:v>
      </x:c>
      <x:c r="B349" s="17" t="n">
        <x:v>45017</x:v>
      </x:c>
      <x:c r="C349" t="str">
        <x:v>Город на реке Тушино-2018 (реновация)</x:v>
      </x:c>
      <x:c r="D349" s="14" t="n">
        <x:v>0</x:v>
      </x:c>
      <x:c r="E349" s="20" t="n">
        <x:v>0</x:v>
      </x:c>
      <x:c r="F349" s="20" t="n">
        <x:v>0</x:v>
      </x:c>
      <x:c r="G349" s="20" t="n">
        <x:v>0</x:v>
      </x:c>
      <x:c r="H349" s="20" t="n">
        <x:f>E349-G349</x:f>
        <x:v>0</x:v>
      </x:c>
    </x:row>
    <x:row r="350">
      <x:c r="A350" t="str">
        <x:v>49761</x:v>
      </x:c>
      <x:c r="B350" s="17" t="n">
        <x:v>45047</x:v>
      </x:c>
      <x:c r="C350" t="str">
        <x:v>Город на реке Тушино-2018 (реновация)</x:v>
      </x:c>
      <x:c r="D350" s="14" t="n">
        <x:v>0</x:v>
      </x:c>
      <x:c r="E350" s="20" t="n">
        <x:v>0</x:v>
      </x:c>
      <x:c r="F350" s="20" t="n">
        <x:v>0</x:v>
      </x:c>
      <x:c r="G350" s="20" t="n">
        <x:v>0</x:v>
      </x:c>
      <x:c r="H350" s="20" t="n">
        <x:f>E350-G350</x:f>
        <x:v>0</x:v>
      </x:c>
    </x:row>
    <x:row r="351">
      <x:c r="A351" t="str">
        <x:v>49761</x:v>
      </x:c>
      <x:c r="B351" s="17" t="n">
        <x:v>45078</x:v>
      </x:c>
      <x:c r="C351" t="str">
        <x:v>Город на реке Тушино-2018 (реновация)</x:v>
      </x:c>
      <x:c r="D351" s="14" t="n">
        <x:v>0</x:v>
      </x:c>
      <x:c r="E351" s="20" t="n">
        <x:v>0</x:v>
      </x:c>
      <x:c r="F351" s="20" t="n">
        <x:v>0</x:v>
      </x:c>
      <x:c r="G351" s="20" t="n">
        <x:v>0</x:v>
      </x:c>
      <x:c r="H351" s="20" t="n">
        <x:f>E351-G351</x:f>
        <x:v>0</x:v>
      </x:c>
    </x:row>
    <x:row r="352">
      <x:c r="A352" t="str">
        <x:v>49761</x:v>
      </x:c>
      <x:c r="B352" s="17" t="n">
        <x:v>45108</x:v>
      </x:c>
      <x:c r="C352" t="str">
        <x:v>Город на реке Тушино-2018 (реновация)</x:v>
      </x:c>
      <x:c r="D352" s="14" t="n">
        <x:v>0</x:v>
      </x:c>
      <x:c r="E352" s="20" t="n">
        <x:v>0</x:v>
      </x:c>
      <x:c r="F352" s="20" t="n">
        <x:v>0</x:v>
      </x:c>
      <x:c r="G352" s="20" t="n">
        <x:v>0</x:v>
      </x:c>
      <x:c r="H352" s="20" t="n">
        <x:f>E352-G352</x:f>
        <x:v>0</x:v>
      </x:c>
    </x:row>
    <x:row r="353">
      <x:c r="A353" t="str">
        <x:v>49761</x:v>
      </x:c>
      <x:c r="B353" s="17" t="n">
        <x:v>45139</x:v>
      </x:c>
      <x:c r="C353" t="str">
        <x:v>Город на реке Тушино-2018 (реновация)</x:v>
      </x:c>
      <x:c r="D353" s="14" t="n">
        <x:v>0</x:v>
      </x:c>
      <x:c r="E353" s="20" t="n">
        <x:v>0</x:v>
      </x:c>
      <x:c r="F353" s="20" t="n">
        <x:v>0</x:v>
      </x:c>
      <x:c r="G353" s="20" t="n">
        <x:v>0</x:v>
      </x:c>
      <x:c r="H353" s="20" t="n">
        <x:f>E353-G353</x:f>
        <x:v>0</x:v>
      </x:c>
    </x:row>
    <x:row r="354">
      <x:c r="A354" t="str">
        <x:v>49761</x:v>
      </x:c>
      <x:c r="B354" s="17" t="n">
        <x:v>45170</x:v>
      </x:c>
      <x:c r="C354" t="str">
        <x:v>Город на реке Тушино-2018 (реновация)</x:v>
      </x:c>
      <x:c r="D354" s="14" t="n">
        <x:v>0</x:v>
      </x:c>
      <x:c r="E354" s="20" t="n">
        <x:v>0</x:v>
      </x:c>
      <x:c r="F354" s="20" t="n">
        <x:v>0</x:v>
      </x:c>
      <x:c r="G354" s="20" t="n">
        <x:v>0</x:v>
      </x:c>
      <x:c r="H354" s="20" t="n">
        <x:f>E354-G354</x:f>
        <x:v>0</x:v>
      </x:c>
    </x:row>
    <x:row r="355">
      <x:c r="A355" t="str">
        <x:v>49761</x:v>
      </x:c>
      <x:c r="B355" s="17" t="n">
        <x:v>45200</x:v>
      </x:c>
      <x:c r="C355" t="str">
        <x:v>Город на реке Тушино-2018 (реновация)</x:v>
      </x:c>
      <x:c r="D355" s="14" t="n">
        <x:v>0</x:v>
      </x:c>
      <x:c r="E355" s="20" t="n">
        <x:v>0</x:v>
      </x:c>
      <x:c r="F355" s="20" t="n">
        <x:v>0</x:v>
      </x:c>
      <x:c r="G355" s="20" t="n">
        <x:v>0</x:v>
      </x:c>
      <x:c r="H355" s="20" t="n">
        <x:f>E355-G355</x:f>
        <x:v>0</x:v>
      </x:c>
    </x:row>
    <x:row r="356">
      <x:c r="A356" t="str">
        <x:v>49761</x:v>
      </x:c>
      <x:c r="B356" s="17" t="n">
        <x:v>45231</x:v>
      </x:c>
      <x:c r="C356" t="str">
        <x:v>Город на реке Тушино-2018 (реновация)</x:v>
      </x:c>
      <x:c r="D356" s="14" t="n">
        <x:v>0</x:v>
      </x:c>
      <x:c r="E356" s="20" t="n">
        <x:v>0</x:v>
      </x:c>
      <x:c r="F356" s="20" t="n">
        <x:v>0</x:v>
      </x:c>
      <x:c r="G356" s="20" t="n">
        <x:v>0</x:v>
      </x:c>
      <x:c r="H356" s="20" t="n">
        <x:f>E356-G356</x:f>
        <x:v>0</x:v>
      </x:c>
    </x:row>
    <x:row r="357">
      <x:c r="A357" t="str">
        <x:v>49761</x:v>
      </x:c>
      <x:c r="B357" s="17" t="n">
        <x:v>45261</x:v>
      </x:c>
      <x:c r="C357" t="str">
        <x:v>Город на реке Тушино-2018 (реновация)</x:v>
      </x:c>
      <x:c r="D357" s="14" t="n">
        <x:v>0</x:v>
      </x:c>
      <x:c r="E357" s="20" t="n">
        <x:v>0</x:v>
      </x:c>
      <x:c r="F357" s="20" t="n">
        <x:v>0</x:v>
      </x:c>
      <x:c r="G357" s="20" t="n">
        <x:v>0</x:v>
      </x:c>
      <x:c r="H357" s="20" t="n">
        <x:f>E357-G357</x:f>
        <x:v>0</x:v>
      </x:c>
    </x:row>
    <x:row r="358">
      <x:c r="A358" t="str">
        <x:v>49761</x:v>
      </x:c>
      <x:c r="B358" s="17" t="n">
        <x:v>45292</x:v>
      </x:c>
      <x:c r="C358" t="str">
        <x:v>Город на реке Тушино-2018 (реновация)</x:v>
      </x:c>
      <x:c r="D358" s="14" t="n">
        <x:v>0</x:v>
      </x:c>
      <x:c r="E358" s="20" t="n">
        <x:v>0</x:v>
      </x:c>
      <x:c r="F358" s="20" t="n">
        <x:v>0</x:v>
      </x:c>
      <x:c r="G358" s="20" t="n">
        <x:v>0</x:v>
      </x:c>
      <x:c r="H358" s="20" t="n">
        <x:f>E358-G358</x:f>
        <x:v>0</x:v>
      </x:c>
    </x:row>
    <x:row r="359">
      <x:c r="A359" t="str">
        <x:v>49761</x:v>
      </x:c>
      <x:c r="B359" s="17" t="n">
        <x:v>45323</x:v>
      </x:c>
      <x:c r="C359" t="str">
        <x:v>Город на реке Тушино-2018 (реновация)</x:v>
      </x:c>
      <x:c r="D359" s="14" t="n">
        <x:v>0</x:v>
      </x:c>
      <x:c r="E359" s="20" t="n">
        <x:v>0</x:v>
      </x:c>
      <x:c r="F359" s="20" t="n">
        <x:v>0</x:v>
      </x:c>
      <x:c r="G359" s="20" t="n">
        <x:v>0</x:v>
      </x:c>
      <x:c r="H359" s="20" t="n">
        <x:f>E359-G359</x:f>
        <x:v>0</x:v>
      </x:c>
    </x:row>
    <x:row r="360">
      <x:c r="A360" t="str">
        <x:v>49761</x:v>
      </x:c>
      <x:c r="B360" s="17" t="n">
        <x:v>45352</x:v>
      </x:c>
      <x:c r="C360" t="str">
        <x:v>Город на реке Тушино-2018 (реновация)</x:v>
      </x:c>
      <x:c r="D360" s="14" t="n">
        <x:v>0</x:v>
      </x:c>
      <x:c r="E360" s="20" t="n">
        <x:v>0</x:v>
      </x:c>
      <x:c r="F360" s="20" t="n">
        <x:v>0</x:v>
      </x:c>
      <x:c r="G360" s="20" t="n">
        <x:v>0</x:v>
      </x:c>
      <x:c r="H360" s="20" t="n">
        <x:f>E360-G360</x:f>
        <x:v>0</x:v>
      </x:c>
    </x:row>
    <x:row r="361">
      <x:c r="A361" t="str">
        <x:v>49761</x:v>
      </x:c>
      <x:c r="B361" s="17" t="n">
        <x:v>45383</x:v>
      </x:c>
      <x:c r="C361" t="str">
        <x:v>Город на реке Тушино-2018 (реновация)</x:v>
      </x:c>
      <x:c r="D361" s="14" t="n">
        <x:v>0</x:v>
      </x:c>
      <x:c r="E361" s="20" t="n">
        <x:v>0</x:v>
      </x:c>
      <x:c r="F361" s="20" t="n">
        <x:v>0</x:v>
      </x:c>
      <x:c r="G361" s="20" t="n">
        <x:v>0</x:v>
      </x:c>
      <x:c r="H361" s="20" t="n">
        <x:f>E361-G361</x:f>
        <x:v>0</x:v>
      </x:c>
    </x:row>
    <x:row r="362">
      <x:c r="A362" t="str">
        <x:v>49761</x:v>
      </x:c>
      <x:c r="B362" s="17" t="n">
        <x:v>45413</x:v>
      </x:c>
      <x:c r="C362" t="str">
        <x:v>Город на реке Тушино-2018 (реновация)</x:v>
      </x:c>
      <x:c r="D362" s="14" t="n">
        <x:v>0</x:v>
      </x:c>
      <x:c r="E362" s="20" t="n">
        <x:v>0</x:v>
      </x:c>
      <x:c r="F362" s="20" t="n">
        <x:v>0</x:v>
      </x:c>
      <x:c r="G362" s="20" t="n">
        <x:v>0</x:v>
      </x:c>
      <x:c r="H362" s="20" t="n">
        <x:f>E362-G362</x:f>
        <x:v>0</x:v>
      </x:c>
    </x:row>
    <x:row r="363">
      <x:c r="A363" t="str">
        <x:v>49761</x:v>
      </x:c>
      <x:c r="B363" s="17" t="n">
        <x:v>45444</x:v>
      </x:c>
      <x:c r="C363" t="str">
        <x:v>Город на реке Тушино-2018 (реновация)</x:v>
      </x:c>
      <x:c r="D363" s="14" t="n">
        <x:v>0</x:v>
      </x:c>
      <x:c r="E363" s="20" t="n">
        <x:v>0</x:v>
      </x:c>
      <x:c r="F363" s="20" t="n">
        <x:v>0</x:v>
      </x:c>
      <x:c r="G363" s="20" t="n">
        <x:v>0</x:v>
      </x:c>
      <x:c r="H363" s="20" t="n">
        <x:f>E363-G363</x:f>
        <x:v>0</x:v>
      </x:c>
    </x:row>
    <x:row r="364">
      <x:c r="A364" t="str">
        <x:v>49761</x:v>
      </x:c>
      <x:c r="B364" s="17" t="n">
        <x:v>45474</x:v>
      </x:c>
      <x:c r="C364" t="str">
        <x:v>Город на реке Тушино-2018 (реновация)</x:v>
      </x:c>
      <x:c r="D364" s="14" t="n">
        <x:v>0</x:v>
      </x:c>
      <x:c r="E364" s="20" t="n">
        <x:v>0</x:v>
      </x:c>
      <x:c r="F364" s="20" t="n">
        <x:v>0</x:v>
      </x:c>
      <x:c r="G364" s="20" t="n">
        <x:v>0</x:v>
      </x:c>
      <x:c r="H364" s="20" t="n">
        <x:f>E364-G364</x:f>
        <x:v>0</x:v>
      </x:c>
    </x:row>
    <x:row r="365">
      <x:c r="A365" t="str">
        <x:v>49761</x:v>
      </x:c>
      <x:c r="B365" s="17" t="n">
        <x:v>45505</x:v>
      </x:c>
      <x:c r="C365" t="str">
        <x:v>Город на реке Тушино-2018 (реновация)</x:v>
      </x:c>
      <x:c r="D365" s="14" t="n">
        <x:v>0</x:v>
      </x:c>
      <x:c r="E365" s="20" t="n">
        <x:v>0</x:v>
      </x:c>
      <x:c r="F365" s="20" t="n">
        <x:v>0</x:v>
      </x:c>
      <x:c r="G365" s="20" t="n">
        <x:v>0</x:v>
      </x:c>
      <x:c r="H365" s="20" t="n">
        <x:f>E365-G365</x:f>
        <x:v>0</x:v>
      </x:c>
    </x:row>
    <x:row r="366">
      <x:c r="A366" t="str">
        <x:v>49761</x:v>
      </x:c>
      <x:c r="B366" s="17" t="n">
        <x:v>45536</x:v>
      </x:c>
      <x:c r="C366" t="str">
        <x:v>Город на реке Тушино-2018 (реновация)</x:v>
      </x:c>
      <x:c r="D366" s="14" t="n">
        <x:v>0</x:v>
      </x:c>
      <x:c r="E366" s="20" t="n">
        <x:v>0</x:v>
      </x:c>
      <x:c r="F366" s="20" t="n">
        <x:v>0</x:v>
      </x:c>
      <x:c r="G366" s="20" t="n">
        <x:v>0</x:v>
      </x:c>
      <x:c r="H366" s="20" t="n">
        <x:f>E366-G366</x:f>
        <x:v>0</x:v>
      </x:c>
    </x:row>
    <x:row r="367">
      <x:c r="A367" t="str">
        <x:v>49761</x:v>
      </x:c>
      <x:c r="B367" s="17" t="n">
        <x:v>45566</x:v>
      </x:c>
      <x:c r="C367" t="str">
        <x:v>Город на реке Тушино-2018 (реновация)</x:v>
      </x:c>
      <x:c r="D367" s="14" t="n">
        <x:v>0</x:v>
      </x:c>
      <x:c r="E367" s="20" t="n">
        <x:v>0</x:v>
      </x:c>
      <x:c r="F367" s="20" t="n">
        <x:v>0</x:v>
      </x:c>
      <x:c r="G367" s="20" t="n">
        <x:v>0</x:v>
      </x:c>
      <x:c r="H367" s="20" t="n">
        <x:f>E367-G367</x:f>
        <x:v>0</x:v>
      </x:c>
    </x:row>
    <x:row r="368">
      <x:c r="A368" t="str">
        <x:v>49761</x:v>
      </x:c>
      <x:c r="B368" s="17" t="n">
        <x:v>45597</x:v>
      </x:c>
      <x:c r="C368" t="str">
        <x:v>Город на реке Тушино-2018 (реновация)</x:v>
      </x:c>
      <x:c r="D368" s="14" t="n">
        <x:v>0</x:v>
      </x:c>
      <x:c r="E368" s="20" t="n">
        <x:v>0</x:v>
      </x:c>
      <x:c r="F368" s="20" t="n">
        <x:v>0</x:v>
      </x:c>
      <x:c r="G368" s="20" t="n">
        <x:v>0</x:v>
      </x:c>
      <x:c r="H368" s="20" t="n">
        <x:f>E368-G368</x:f>
        <x:v>0</x:v>
      </x:c>
    </x:row>
    <x:row r="369">
      <x:c r="A369" t="str">
        <x:v>51189</x:v>
      </x:c>
      <x:c r="B369" s="17" t="n">
        <x:v>44197</x:v>
      </x:c>
      <x:c r="C369" t="str">
        <x:v>Сидней Сити (Sydney City)</x:v>
      </x:c>
      <x:c r="D369" s="14" t="n">
        <x:v>2</x:v>
      </x:c>
      <x:c r="E369" s="20" t="n">
        <x:v>159.3</x:v>
      </x:c>
      <x:c r="F369" s="20" t="n">
        <x:v>58738947</x:v>
      </x:c>
      <x:c r="G369" s="20" t="n">
        <x:v>0</x:v>
      </x:c>
      <x:c r="H369" s="20" t="n">
        <x:f>E369-G369</x:f>
        <x:v>159.3</x:v>
      </x:c>
    </x:row>
    <x:row r="370">
      <x:c r="A370" t="str">
        <x:v>51189</x:v>
      </x:c>
      <x:c r="B370" s="17" t="n">
        <x:v>44228</x:v>
      </x:c>
      <x:c r="C370" t="str">
        <x:v>Сидней Сити (Sydney City)</x:v>
      </x:c>
      <x:c r="D370" s="14" t="n">
        <x:v>0</x:v>
      </x:c>
      <x:c r="E370" s="20" t="n">
        <x:v>0</x:v>
      </x:c>
      <x:c r="F370" s="20" t="n">
        <x:v>0</x:v>
      </x:c>
      <x:c r="G370" s="20" t="n">
        <x:v>0</x:v>
      </x:c>
      <x:c r="H370" s="20" t="n">
        <x:f>E370-G370</x:f>
        <x:v>0</x:v>
      </x:c>
    </x:row>
    <x:row r="371">
      <x:c r="A371" t="str">
        <x:v>51189</x:v>
      </x:c>
      <x:c r="B371" s="17" t="n">
        <x:v>44256</x:v>
      </x:c>
      <x:c r="C371" t="str">
        <x:v>Сидней Сити (Sydney City)</x:v>
      </x:c>
      <x:c r="D371" s="14" t="n">
        <x:v>0</x:v>
      </x:c>
      <x:c r="E371" s="20" t="n">
        <x:v>0</x:v>
      </x:c>
      <x:c r="F371" s="20" t="n">
        <x:v>0</x:v>
      </x:c>
      <x:c r="G371" s="20" t="n">
        <x:v>0</x:v>
      </x:c>
      <x:c r="H371" s="20" t="n">
        <x:f>E371-G371</x:f>
        <x:v>0</x:v>
      </x:c>
    </x:row>
    <x:row r="372">
      <x:c r="A372" t="str">
        <x:v>51189</x:v>
      </x:c>
      <x:c r="B372" s="17" t="n">
        <x:v>44287</x:v>
      </x:c>
      <x:c r="C372" t="str">
        <x:v>Сидней Сити (Sydney City)</x:v>
      </x:c>
      <x:c r="D372" s="14" t="n">
        <x:v>0</x:v>
      </x:c>
      <x:c r="E372" s="20" t="n">
        <x:v>0</x:v>
      </x:c>
      <x:c r="F372" s="20" t="n">
        <x:v>0</x:v>
      </x:c>
      <x:c r="G372" s="20" t="n">
        <x:v>0</x:v>
      </x:c>
      <x:c r="H372" s="20" t="n">
        <x:f>E372-G372</x:f>
        <x:v>0</x:v>
      </x:c>
    </x:row>
    <x:row r="373">
      <x:c r="A373" t="str">
        <x:v>51189</x:v>
      </x:c>
      <x:c r="B373" s="17" t="n">
        <x:v>44317</x:v>
      </x:c>
      <x:c r="C373" t="str">
        <x:v>Сидней Сити (Sydney City)</x:v>
      </x:c>
      <x:c r="D373" s="14" t="n">
        <x:v>0</x:v>
      </x:c>
      <x:c r="E373" s="20" t="n">
        <x:v>0</x:v>
      </x:c>
      <x:c r="F373" s="20" t="n">
        <x:v>0</x:v>
      </x:c>
      <x:c r="G373" s="20" t="n">
        <x:v>0</x:v>
      </x:c>
      <x:c r="H373" s="20" t="n">
        <x:f>E373-G373</x:f>
        <x:v>0</x:v>
      </x:c>
    </x:row>
    <x:row r="374">
      <x:c r="A374" t="str">
        <x:v>51189</x:v>
      </x:c>
      <x:c r="B374" s="17" t="n">
        <x:v>44348</x:v>
      </x:c>
      <x:c r="C374" t="str">
        <x:v>Сидней Сити (Sydney City)</x:v>
      </x:c>
      <x:c r="D374" s="14" t="n">
        <x:v>0</x:v>
      </x:c>
      <x:c r="E374" s="20" t="n">
        <x:v>0</x:v>
      </x:c>
      <x:c r="F374" s="20" t="n">
        <x:v>0</x:v>
      </x:c>
      <x:c r="G374" s="20" t="n">
        <x:v>0</x:v>
      </x:c>
      <x:c r="H374" s="20" t="n">
        <x:f>E374-G374</x:f>
        <x:v>0</x:v>
      </x:c>
    </x:row>
    <x:row r="375">
      <x:c r="A375" t="str">
        <x:v>51189</x:v>
      </x:c>
      <x:c r="B375" s="17" t="n">
        <x:v>44378</x:v>
      </x:c>
      <x:c r="C375" t="str">
        <x:v>Сидней Сити (Sydney City)</x:v>
      </x:c>
      <x:c r="D375" s="14" t="n">
        <x:v>0</x:v>
      </x:c>
      <x:c r="E375" s="20" t="n">
        <x:v>0</x:v>
      </x:c>
      <x:c r="F375" s="20" t="n">
        <x:v>0</x:v>
      </x:c>
      <x:c r="G375" s="20" t="n">
        <x:v>0</x:v>
      </x:c>
      <x:c r="H375" s="20" t="n">
        <x:f>E375-G375</x:f>
        <x:v>0</x:v>
      </x:c>
    </x:row>
    <x:row r="376">
      <x:c r="A376" t="str">
        <x:v>51189</x:v>
      </x:c>
      <x:c r="B376" s="17" t="n">
        <x:v>44409</x:v>
      </x:c>
      <x:c r="C376" t="str">
        <x:v>Сидней Сити (Sydney City)</x:v>
      </x:c>
      <x:c r="D376" s="14" t="n">
        <x:v>0</x:v>
      </x:c>
      <x:c r="E376" s="20" t="n">
        <x:v>0</x:v>
      </x:c>
      <x:c r="F376" s="20" t="n">
        <x:v>0</x:v>
      </x:c>
      <x:c r="G376" s="20" t="n">
        <x:v>0</x:v>
      </x:c>
      <x:c r="H376" s="20" t="n">
        <x:f>E376-G376</x:f>
        <x:v>0</x:v>
      </x:c>
    </x:row>
    <x:row r="377">
      <x:c r="A377" t="str">
        <x:v>51189</x:v>
      </x:c>
      <x:c r="B377" s="17" t="n">
        <x:v>44440</x:v>
      </x:c>
      <x:c r="C377" t="str">
        <x:v>Сидней Сити (Sydney City)</x:v>
      </x:c>
      <x:c r="D377" s="14" t="n">
        <x:v>0</x:v>
      </x:c>
      <x:c r="E377" s="20" t="n">
        <x:v>0</x:v>
      </x:c>
      <x:c r="F377" s="20" t="n">
        <x:v>0</x:v>
      </x:c>
      <x:c r="G377" s="20" t="n">
        <x:v>0</x:v>
      </x:c>
      <x:c r="H377" s="20" t="n">
        <x:f>E377-G377</x:f>
        <x:v>0</x:v>
      </x:c>
    </x:row>
    <x:row r="378">
      <x:c r="A378" t="str">
        <x:v>51189</x:v>
      </x:c>
      <x:c r="B378" s="17" t="n">
        <x:v>44470</x:v>
      </x:c>
      <x:c r="C378" t="str">
        <x:v>Сидней Сити (Sydney City)</x:v>
      </x:c>
      <x:c r="D378" s="14" t="n">
        <x:v>0</x:v>
      </x:c>
      <x:c r="E378" s="20" t="n">
        <x:v>0</x:v>
      </x:c>
      <x:c r="F378" s="20" t="n">
        <x:v>0</x:v>
      </x:c>
      <x:c r="G378" s="20" t="n">
        <x:v>0</x:v>
      </x:c>
      <x:c r="H378" s="20" t="n">
        <x:f>E378-G378</x:f>
        <x:v>0</x:v>
      </x:c>
    </x:row>
    <x:row r="379">
      <x:c r="A379" t="str">
        <x:v>51189</x:v>
      </x:c>
      <x:c r="B379" s="17" t="n">
        <x:v>44501</x:v>
      </x:c>
      <x:c r="C379" t="str">
        <x:v>Сидней Сити (Sydney City)</x:v>
      </x:c>
      <x:c r="D379" s="14" t="n">
        <x:v>0</x:v>
      </x:c>
      <x:c r="E379" s="20" t="n">
        <x:v>0</x:v>
      </x:c>
      <x:c r="F379" s="20" t="n">
        <x:v>0</x:v>
      </x:c>
      <x:c r="G379" s="20" t="n">
        <x:v>0</x:v>
      </x:c>
      <x:c r="H379" s="20" t="n">
        <x:f>E379-G379</x:f>
        <x:v>0</x:v>
      </x:c>
    </x:row>
    <x:row r="380">
      <x:c r="A380" t="str">
        <x:v>51189</x:v>
      </x:c>
      <x:c r="B380" s="17" t="n">
        <x:v>44531</x:v>
      </x:c>
      <x:c r="C380" t="str">
        <x:v>Сидней Сити (Sydney City)</x:v>
      </x:c>
      <x:c r="D380" s="14" t="n">
        <x:v>0</x:v>
      </x:c>
      <x:c r="E380" s="20" t="n">
        <x:v>0</x:v>
      </x:c>
      <x:c r="F380" s="20" t="n">
        <x:v>0</x:v>
      </x:c>
      <x:c r="G380" s="20" t="n">
        <x:v>0</x:v>
      </x:c>
      <x:c r="H380" s="20" t="n">
        <x:f>E380-G380</x:f>
        <x:v>0</x:v>
      </x:c>
    </x:row>
    <x:row r="381">
      <x:c r="A381" t="str">
        <x:v>51189</x:v>
      </x:c>
      <x:c r="B381" s="17" t="n">
        <x:v>44562</x:v>
      </x:c>
      <x:c r="C381" t="str">
        <x:v>Сидней Сити (Sydney City)</x:v>
      </x:c>
      <x:c r="D381" s="14" t="n">
        <x:v>0</x:v>
      </x:c>
      <x:c r="E381" s="20" t="n">
        <x:v>0</x:v>
      </x:c>
      <x:c r="F381" s="20" t="n">
        <x:v>0</x:v>
      </x:c>
      <x:c r="G381" s="20" t="n">
        <x:v>0</x:v>
      </x:c>
      <x:c r="H381" s="20" t="n">
        <x:f>E381-G381</x:f>
        <x:v>0</x:v>
      </x:c>
    </x:row>
    <x:row r="382">
      <x:c r="A382" t="str">
        <x:v>51189</x:v>
      </x:c>
      <x:c r="B382" s="17" t="n">
        <x:v>44593</x:v>
      </x:c>
      <x:c r="C382" t="str">
        <x:v>Сидней Сити (Sydney City)</x:v>
      </x:c>
      <x:c r="D382" s="14" t="n">
        <x:v>0</x:v>
      </x:c>
      <x:c r="E382" s="20" t="n">
        <x:v>0</x:v>
      </x:c>
      <x:c r="F382" s="20" t="n">
        <x:v>0</x:v>
      </x:c>
      <x:c r="G382" s="20" t="n">
        <x:v>0</x:v>
      </x:c>
      <x:c r="H382" s="20" t="n">
        <x:f>E382-G382</x:f>
        <x:v>0</x:v>
      </x:c>
    </x:row>
    <x:row r="383">
      <x:c r="A383" t="str">
        <x:v>51189</x:v>
      </x:c>
      <x:c r="B383" s="17" t="n">
        <x:v>44621</x:v>
      </x:c>
      <x:c r="C383" t="str">
        <x:v>Сидней Сити (Sydney City)</x:v>
      </x:c>
      <x:c r="D383" s="14" t="n">
        <x:v>0</x:v>
      </x:c>
      <x:c r="E383" s="20" t="n">
        <x:v>0</x:v>
      </x:c>
      <x:c r="F383" s="20" t="n">
        <x:v>0</x:v>
      </x:c>
      <x:c r="G383" s="20" t="n">
        <x:v>0</x:v>
      </x:c>
      <x:c r="H383" s="20" t="n">
        <x:f>E383-G383</x:f>
        <x:v>0</x:v>
      </x:c>
    </x:row>
    <x:row r="384">
      <x:c r="A384" t="str">
        <x:v>51189</x:v>
      </x:c>
      <x:c r="B384" s="17" t="n">
        <x:v>44652</x:v>
      </x:c>
      <x:c r="C384" t="str">
        <x:v>Сидней Сити (Sydney City)</x:v>
      </x:c>
      <x:c r="D384" s="14" t="n">
        <x:v>0</x:v>
      </x:c>
      <x:c r="E384" s="20" t="n">
        <x:v>0</x:v>
      </x:c>
      <x:c r="F384" s="20" t="n">
        <x:v>0</x:v>
      </x:c>
      <x:c r="G384" s="20" t="n">
        <x:v>0</x:v>
      </x:c>
      <x:c r="H384" s="20" t="n">
        <x:f>E384-G384</x:f>
        <x:v>0</x:v>
      </x:c>
    </x:row>
    <x:row r="385">
      <x:c r="A385" t="str">
        <x:v>51189</x:v>
      </x:c>
      <x:c r="B385" s="17" t="n">
        <x:v>44682</x:v>
      </x:c>
      <x:c r="C385" t="str">
        <x:v>Сидней Сити (Sydney City)</x:v>
      </x:c>
      <x:c r="D385" s="14" t="n">
        <x:v>0</x:v>
      </x:c>
      <x:c r="E385" s="20" t="n">
        <x:v>0</x:v>
      </x:c>
      <x:c r="F385" s="20" t="n">
        <x:v>0</x:v>
      </x:c>
      <x:c r="G385" s="20" t="n">
        <x:v>0</x:v>
      </x:c>
      <x:c r="H385" s="20" t="n">
        <x:f>E385-G385</x:f>
        <x:v>0</x:v>
      </x:c>
    </x:row>
    <x:row r="386">
      <x:c r="A386" t="str">
        <x:v>51189</x:v>
      </x:c>
      <x:c r="B386" s="17" t="n">
        <x:v>44713</x:v>
      </x:c>
      <x:c r="C386" t="str">
        <x:v>Сидней Сити (Sydney City)</x:v>
      </x:c>
      <x:c r="D386" s="14" t="n">
        <x:v>0</x:v>
      </x:c>
      <x:c r="E386" s="20" t="n">
        <x:v>0</x:v>
      </x:c>
      <x:c r="F386" s="20" t="n">
        <x:v>0</x:v>
      </x:c>
      <x:c r="G386" s="20" t="n">
        <x:v>0</x:v>
      </x:c>
      <x:c r="H386" s="20" t="n">
        <x:f>E386-G386</x:f>
        <x:v>0</x:v>
      </x:c>
    </x:row>
    <x:row r="387">
      <x:c r="A387" t="str">
        <x:v>51189</x:v>
      </x:c>
      <x:c r="B387" s="17" t="n">
        <x:v>44743</x:v>
      </x:c>
      <x:c r="C387" t="str">
        <x:v>Сидней Сити (Sydney City)</x:v>
      </x:c>
      <x:c r="D387" s="14" t="n">
        <x:v>0</x:v>
      </x:c>
      <x:c r="E387" s="20" t="n">
        <x:v>0</x:v>
      </x:c>
      <x:c r="F387" s="20" t="n">
        <x:v>0</x:v>
      </x:c>
      <x:c r="G387" s="20" t="n">
        <x:v>0</x:v>
      </x:c>
      <x:c r="H387" s="20" t="n">
        <x:f>E387-G387</x:f>
        <x:v>0</x:v>
      </x:c>
    </x:row>
    <x:row r="388">
      <x:c r="A388" t="str">
        <x:v>51189</x:v>
      </x:c>
      <x:c r="B388" s="17" t="n">
        <x:v>44774</x:v>
      </x:c>
      <x:c r="C388" t="str">
        <x:v>Сидней Сити (Sydney City)</x:v>
      </x:c>
      <x:c r="D388" s="14" t="n">
        <x:v>0</x:v>
      </x:c>
      <x:c r="E388" s="20" t="n">
        <x:v>0</x:v>
      </x:c>
      <x:c r="F388" s="20" t="n">
        <x:v>0</x:v>
      </x:c>
      <x:c r="G388" s="20" t="n">
        <x:v>0</x:v>
      </x:c>
      <x:c r="H388" s="20" t="n">
        <x:f>E388-G388</x:f>
        <x:v>0</x:v>
      </x:c>
    </x:row>
    <x:row r="389">
      <x:c r="A389" t="str">
        <x:v>51189</x:v>
      </x:c>
      <x:c r="B389" s="17" t="n">
        <x:v>44805</x:v>
      </x:c>
      <x:c r="C389" t="str">
        <x:v>Сидней Сити (Sydney City)</x:v>
      </x:c>
      <x:c r="D389" s="14" t="n">
        <x:v>0</x:v>
      </x:c>
      <x:c r="E389" s="20" t="n">
        <x:v>0</x:v>
      </x:c>
      <x:c r="F389" s="20" t="n">
        <x:v>0</x:v>
      </x:c>
      <x:c r="G389" s="20" t="n">
        <x:v>0</x:v>
      </x:c>
      <x:c r="H389" s="20" t="n">
        <x:f>E389-G389</x:f>
        <x:v>0</x:v>
      </x:c>
    </x:row>
    <x:row r="390">
      <x:c r="A390" t="str">
        <x:v>51189</x:v>
      </x:c>
      <x:c r="B390" s="17" t="n">
        <x:v>44835</x:v>
      </x:c>
      <x:c r="C390" t="str">
        <x:v>Сидней Сити (Sydney City)</x:v>
      </x:c>
      <x:c r="D390" s="14" t="n">
        <x:v>0</x:v>
      </x:c>
      <x:c r="E390" s="20" t="n">
        <x:v>0</x:v>
      </x:c>
      <x:c r="F390" s="20" t="n">
        <x:v>0</x:v>
      </x:c>
      <x:c r="G390" s="20" t="n">
        <x:v>0</x:v>
      </x:c>
      <x:c r="H390" s="20" t="n">
        <x:f>E390-G390</x:f>
        <x:v>0</x:v>
      </x:c>
    </x:row>
    <x:row r="391">
      <x:c r="A391" t="str">
        <x:v>51189</x:v>
      </x:c>
      <x:c r="B391" s="17" t="n">
        <x:v>44866</x:v>
      </x:c>
      <x:c r="C391" t="str">
        <x:v>Сидней Сити (Sydney City)</x:v>
      </x:c>
      <x:c r="D391" s="14" t="n">
        <x:v>0</x:v>
      </x:c>
      <x:c r="E391" s="20" t="n">
        <x:v>0</x:v>
      </x:c>
      <x:c r="F391" s="20" t="n">
        <x:v>0</x:v>
      </x:c>
      <x:c r="G391" s="20" t="n">
        <x:v>0</x:v>
      </x:c>
      <x:c r="H391" s="20" t="n">
        <x:f>E391-G391</x:f>
        <x:v>0</x:v>
      </x:c>
    </x:row>
    <x:row r="392">
      <x:c r="A392" t="str">
        <x:v>51189</x:v>
      </x:c>
      <x:c r="B392" s="17" t="n">
        <x:v>44896</x:v>
      </x:c>
      <x:c r="C392" t="str">
        <x:v>Сидней Сити (Sydney City)</x:v>
      </x:c>
      <x:c r="D392" s="14" t="n">
        <x:v>0</x:v>
      </x:c>
      <x:c r="E392" s="20" t="n">
        <x:v>0</x:v>
      </x:c>
      <x:c r="F392" s="20" t="n">
        <x:v>0</x:v>
      </x:c>
      <x:c r="G392" s="20" t="n">
        <x:v>0</x:v>
      </x:c>
      <x:c r="H392" s="20" t="n">
        <x:f>E392-G392</x:f>
        <x:v>0</x:v>
      </x:c>
    </x:row>
    <x:row r="393">
      <x:c r="A393" t="str">
        <x:v>51189</x:v>
      </x:c>
      <x:c r="B393" s="17" t="n">
        <x:v>44927</x:v>
      </x:c>
      <x:c r="C393" t="str">
        <x:v>Сидней Сити (Sydney City)</x:v>
      </x:c>
      <x:c r="D393" s="14" t="n">
        <x:v>0</x:v>
      </x:c>
      <x:c r="E393" s="20" t="n">
        <x:v>0</x:v>
      </x:c>
      <x:c r="F393" s="20" t="n">
        <x:v>0</x:v>
      </x:c>
      <x:c r="G393" s="20" t="n">
        <x:v>0</x:v>
      </x:c>
      <x:c r="H393" s="20" t="n">
        <x:f>E393-G393</x:f>
        <x:v>0</x:v>
      </x:c>
    </x:row>
    <x:row r="394">
      <x:c r="A394" t="str">
        <x:v>51189</x:v>
      </x:c>
      <x:c r="B394" s="17" t="n">
        <x:v>44958</x:v>
      </x:c>
      <x:c r="C394" t="str">
        <x:v>Сидней Сити (Sydney City)</x:v>
      </x:c>
      <x:c r="D394" s="14" t="n">
        <x:v>0</x:v>
      </x:c>
      <x:c r="E394" s="20" t="n">
        <x:v>0</x:v>
      </x:c>
      <x:c r="F394" s="20" t="n">
        <x:v>0</x:v>
      </x:c>
      <x:c r="G394" s="20" t="n">
        <x:v>0</x:v>
      </x:c>
      <x:c r="H394" s="20" t="n">
        <x:f>E394-G394</x:f>
        <x:v>0</x:v>
      </x:c>
    </x:row>
    <x:row r="395">
      <x:c r="A395" t="str">
        <x:v>51189</x:v>
      </x:c>
      <x:c r="B395" s="17" t="n">
        <x:v>44986</x:v>
      </x:c>
      <x:c r="C395" t="str">
        <x:v>Сидней Сити (Sydney City)</x:v>
      </x:c>
      <x:c r="D395" s="14" t="n">
        <x:v>217</x:v>
      </x:c>
      <x:c r="E395" s="20" t="n">
        <x:v>12243.4</x:v>
      </x:c>
      <x:c r="F395" s="20" t="n">
        <x:v>5428894255</x:v>
      </x:c>
      <x:c r="G395" s="20" t="n">
        <x:v>0</x:v>
      </x:c>
      <x:c r="H395" s="20" t="n">
        <x:f>E395-G395</x:f>
        <x:v>12243.4</x:v>
      </x:c>
    </x:row>
    <x:row r="396">
      <x:c r="A396" t="str">
        <x:v>51189</x:v>
      </x:c>
      <x:c r="B396" s="17" t="n">
        <x:v>45017</x:v>
      </x:c>
      <x:c r="C396" t="str">
        <x:v>Сидней Сити (Sydney City)</x:v>
      </x:c>
      <x:c r="D396" s="14" t="n">
        <x:v>0</x:v>
      </x:c>
      <x:c r="E396" s="20" t="n">
        <x:v>0</x:v>
      </x:c>
      <x:c r="F396" s="20" t="n">
        <x:v>0</x:v>
      </x:c>
      <x:c r="G396" s="20" t="n">
        <x:v>0</x:v>
      </x:c>
      <x:c r="H396" s="20" t="n">
        <x:f>E396-G396</x:f>
        <x:v>0</x:v>
      </x:c>
    </x:row>
    <x:row r="397">
      <x:c r="A397" t="str">
        <x:v>51189</x:v>
      </x:c>
      <x:c r="B397" s="17" t="n">
        <x:v>45047</x:v>
      </x:c>
      <x:c r="C397" t="str">
        <x:v>Сидней Сити (Sydney City)</x:v>
      </x:c>
      <x:c r="D397" s="14" t="n">
        <x:v>0</x:v>
      </x:c>
      <x:c r="E397" s="20" t="n">
        <x:v>0</x:v>
      </x:c>
      <x:c r="F397" s="20" t="n">
        <x:v>0</x:v>
      </x:c>
      <x:c r="G397" s="20" t="n">
        <x:v>0</x:v>
      </x:c>
      <x:c r="H397" s="20" t="n">
        <x:f>E397-G397</x:f>
        <x:v>0</x:v>
      </x:c>
    </x:row>
    <x:row r="398">
      <x:c r="A398" t="str">
        <x:v>51190</x:v>
      </x:c>
      <x:c r="B398" s="17" t="n">
        <x:v>44197</x:v>
      </x:c>
      <x:c r="C398" t="str">
        <x:v>Сидней Сити (Sydney City)</x:v>
      </x:c>
      <x:c r="D398" s="14" t="n">
        <x:v>22</x:v>
      </x:c>
      <x:c r="E398" s="20" t="n">
        <x:v>1124.7</x:v>
      </x:c>
      <x:c r="F398" s="20" t="n">
        <x:v>378782525</x:v>
      </x:c>
      <x:c r="G398" s="20" t="n">
        <x:v>0</x:v>
      </x:c>
      <x:c r="H398" s="20" t="n">
        <x:f>E398-G398</x:f>
        <x:v>1124.7</x:v>
      </x:c>
    </x:row>
    <x:row r="399">
      <x:c r="A399" t="str">
        <x:v>51190</x:v>
      </x:c>
      <x:c r="B399" s="17" t="n">
        <x:v>44228</x:v>
      </x:c>
      <x:c r="C399" t="str">
        <x:v>Сидней Сити (Sydney City)</x:v>
      </x:c>
      <x:c r="D399" s="14" t="n">
        <x:v>0</x:v>
      </x:c>
      <x:c r="E399" s="20" t="n">
        <x:v>0</x:v>
      </x:c>
      <x:c r="F399" s="20" t="n">
        <x:v>0</x:v>
      </x:c>
      <x:c r="G399" s="20" t="n">
        <x:v>0</x:v>
      </x:c>
      <x:c r="H399" s="20" t="n">
        <x:f>E399-G399</x:f>
        <x:v>0</x:v>
      </x:c>
    </x:row>
    <x:row r="400">
      <x:c r="A400" t="str">
        <x:v>51190</x:v>
      </x:c>
      <x:c r="B400" s="17" t="n">
        <x:v>44256</x:v>
      </x:c>
      <x:c r="C400" t="str">
        <x:v>Сидней Сити (Sydney City)</x:v>
      </x:c>
      <x:c r="D400" s="14" t="n">
        <x:v>0</x:v>
      </x:c>
      <x:c r="E400" s="20" t="n">
        <x:v>0</x:v>
      </x:c>
      <x:c r="F400" s="20" t="n">
        <x:v>0</x:v>
      </x:c>
      <x:c r="G400" s="20" t="n">
        <x:v>0</x:v>
      </x:c>
      <x:c r="H400" s="20" t="n">
        <x:f>E400-G400</x:f>
        <x:v>0</x:v>
      </x:c>
    </x:row>
    <x:row r="401">
      <x:c r="A401" t="str">
        <x:v>51190</x:v>
      </x:c>
      <x:c r="B401" s="17" t="n">
        <x:v>44287</x:v>
      </x:c>
      <x:c r="C401" t="str">
        <x:v>Сидней Сити (Sydney City)</x:v>
      </x:c>
      <x:c r="D401" s="14" t="n">
        <x:v>0</x:v>
      </x:c>
      <x:c r="E401" s="20" t="n">
        <x:v>0</x:v>
      </x:c>
      <x:c r="F401" s="20" t="n">
        <x:v>0</x:v>
      </x:c>
      <x:c r="G401" s="20" t="n">
        <x:v>0</x:v>
      </x:c>
      <x:c r="H401" s="20" t="n">
        <x:f>E401-G401</x:f>
        <x:v>0</x:v>
      </x:c>
    </x:row>
    <x:row r="402">
      <x:c r="A402" t="str">
        <x:v>51190</x:v>
      </x:c>
      <x:c r="B402" s="17" t="n">
        <x:v>44317</x:v>
      </x:c>
      <x:c r="C402" t="str">
        <x:v>Сидней Сити (Sydney City)</x:v>
      </x:c>
      <x:c r="D402" s="14" t="n">
        <x:v>0</x:v>
      </x:c>
      <x:c r="E402" s="20" t="n">
        <x:v>0</x:v>
      </x:c>
      <x:c r="F402" s="20" t="n">
        <x:v>0</x:v>
      </x:c>
      <x:c r="G402" s="20" t="n">
        <x:v>0</x:v>
      </x:c>
      <x:c r="H402" s="20" t="n">
        <x:f>E402-G402</x:f>
        <x:v>0</x:v>
      </x:c>
    </x:row>
    <x:row r="403">
      <x:c r="A403" t="str">
        <x:v>51190</x:v>
      </x:c>
      <x:c r="B403" s="17" t="n">
        <x:v>44348</x:v>
      </x:c>
      <x:c r="C403" t="str">
        <x:v>Сидней Сити (Sydney City)</x:v>
      </x:c>
      <x:c r="D403" s="14" t="n">
        <x:v>0</x:v>
      </x:c>
      <x:c r="E403" s="20" t="n">
        <x:v>0</x:v>
      </x:c>
      <x:c r="F403" s="20" t="n">
        <x:v>0</x:v>
      </x:c>
      <x:c r="G403" s="20" t="n">
        <x:v>0</x:v>
      </x:c>
      <x:c r="H403" s="20" t="n">
        <x:f>E403-G403</x:f>
        <x:v>0</x:v>
      </x:c>
    </x:row>
    <x:row r="404">
      <x:c r="A404" t="str">
        <x:v>51190</x:v>
      </x:c>
      <x:c r="B404" s="17" t="n">
        <x:v>44378</x:v>
      </x:c>
      <x:c r="C404" t="str">
        <x:v>Сидней Сити (Sydney City)</x:v>
      </x:c>
      <x:c r="D404" s="14" t="n">
        <x:v>0</x:v>
      </x:c>
      <x:c r="E404" s="20" t="n">
        <x:v>0</x:v>
      </x:c>
      <x:c r="F404" s="20" t="n">
        <x:v>0</x:v>
      </x:c>
      <x:c r="G404" s="20" t="n">
        <x:v>0</x:v>
      </x:c>
      <x:c r="H404" s="20" t="n">
        <x:f>E404-G404</x:f>
        <x:v>0</x:v>
      </x:c>
    </x:row>
    <x:row r="405">
      <x:c r="A405" t="str">
        <x:v>51190</x:v>
      </x:c>
      <x:c r="B405" s="17" t="n">
        <x:v>44409</x:v>
      </x:c>
      <x:c r="C405" t="str">
        <x:v>Сидней Сити (Sydney City)</x:v>
      </x:c>
      <x:c r="D405" s="14" t="n">
        <x:v>0</x:v>
      </x:c>
      <x:c r="E405" s="20" t="n">
        <x:v>0</x:v>
      </x:c>
      <x:c r="F405" s="20" t="n">
        <x:v>0</x:v>
      </x:c>
      <x:c r="G405" s="20" t="n">
        <x:v>0</x:v>
      </x:c>
      <x:c r="H405" s="20" t="n">
        <x:f>E405-G405</x:f>
        <x:v>0</x:v>
      </x:c>
    </x:row>
    <x:row r="406">
      <x:c r="A406" t="str">
        <x:v>51190</x:v>
      </x:c>
      <x:c r="B406" s="17" t="n">
        <x:v>44440</x:v>
      </x:c>
      <x:c r="C406" t="str">
        <x:v>Сидней Сити (Sydney City)</x:v>
      </x:c>
      <x:c r="D406" s="14" t="n">
        <x:v>0</x:v>
      </x:c>
      <x:c r="E406" s="20" t="n">
        <x:v>0</x:v>
      </x:c>
      <x:c r="F406" s="20" t="n">
        <x:v>0</x:v>
      </x:c>
      <x:c r="G406" s="20" t="n">
        <x:v>0</x:v>
      </x:c>
      <x:c r="H406" s="20" t="n">
        <x:f>E406-G406</x:f>
        <x:v>0</x:v>
      </x:c>
    </x:row>
    <x:row r="407">
      <x:c r="A407" t="str">
        <x:v>51190</x:v>
      </x:c>
      <x:c r="B407" s="17" t="n">
        <x:v>44470</x:v>
      </x:c>
      <x:c r="C407" t="str">
        <x:v>Сидней Сити (Sydney City)</x:v>
      </x:c>
      <x:c r="D407" s="14" t="n">
        <x:v>0</x:v>
      </x:c>
      <x:c r="E407" s="20" t="n">
        <x:v>0</x:v>
      </x:c>
      <x:c r="F407" s="20" t="n">
        <x:v>0</x:v>
      </x:c>
      <x:c r="G407" s="20" t="n">
        <x:v>0</x:v>
      </x:c>
      <x:c r="H407" s="20" t="n">
        <x:f>E407-G407</x:f>
        <x:v>0</x:v>
      </x:c>
    </x:row>
    <x:row r="408">
      <x:c r="A408" t="str">
        <x:v>51190</x:v>
      </x:c>
      <x:c r="B408" s="17" t="n">
        <x:v>44501</x:v>
      </x:c>
      <x:c r="C408" t="str">
        <x:v>Сидней Сити (Sydney City)</x:v>
      </x:c>
      <x:c r="D408" s="14" t="n">
        <x:v>0</x:v>
      </x:c>
      <x:c r="E408" s="20" t="n">
        <x:v>0</x:v>
      </x:c>
      <x:c r="F408" s="20" t="n">
        <x:v>0</x:v>
      </x:c>
      <x:c r="G408" s="20" t="n">
        <x:v>0</x:v>
      </x:c>
      <x:c r="H408" s="20" t="n">
        <x:f>E408-G408</x:f>
        <x:v>0</x:v>
      </x:c>
    </x:row>
    <x:row r="409">
      <x:c r="A409" t="str">
        <x:v>51190</x:v>
      </x:c>
      <x:c r="B409" s="17" t="n">
        <x:v>44531</x:v>
      </x:c>
      <x:c r="C409" t="str">
        <x:v>Сидней Сити (Sydney City)</x:v>
      </x:c>
      <x:c r="D409" s="14" t="n">
        <x:v>0</x:v>
      </x:c>
      <x:c r="E409" s="20" t="n">
        <x:v>0</x:v>
      </x:c>
      <x:c r="F409" s="20" t="n">
        <x:v>0</x:v>
      </x:c>
      <x:c r="G409" s="20" t="n">
        <x:v>0</x:v>
      </x:c>
      <x:c r="H409" s="20" t="n">
        <x:f>E409-G409</x:f>
        <x:v>0</x:v>
      </x:c>
    </x:row>
    <x:row r="410">
      <x:c r="A410" t="str">
        <x:v>51190</x:v>
      </x:c>
      <x:c r="B410" s="17" t="n">
        <x:v>44562</x:v>
      </x:c>
      <x:c r="C410" t="str">
        <x:v>Сидней Сити (Sydney City)</x:v>
      </x:c>
      <x:c r="D410" s="14" t="n">
        <x:v>0</x:v>
      </x:c>
      <x:c r="E410" s="20" t="n">
        <x:v>0</x:v>
      </x:c>
      <x:c r="F410" s="20" t="n">
        <x:v>0</x:v>
      </x:c>
      <x:c r="G410" s="20" t="n">
        <x:v>0</x:v>
      </x:c>
      <x:c r="H410" s="20" t="n">
        <x:f>E410-G410</x:f>
        <x:v>0</x:v>
      </x:c>
    </x:row>
    <x:row r="411">
      <x:c r="A411" t="str">
        <x:v>51190</x:v>
      </x:c>
      <x:c r="B411" s="17" t="n">
        <x:v>44593</x:v>
      </x:c>
      <x:c r="C411" t="str">
        <x:v>Сидней Сити (Sydney City)</x:v>
      </x:c>
      <x:c r="D411" s="14" t="n">
        <x:v>0</x:v>
      </x:c>
      <x:c r="E411" s="20" t="n">
        <x:v>0</x:v>
      </x:c>
      <x:c r="F411" s="20" t="n">
        <x:v>0</x:v>
      </x:c>
      <x:c r="G411" s="20" t="n">
        <x:v>0</x:v>
      </x:c>
      <x:c r="H411" s="20" t="n">
        <x:f>E411-G411</x:f>
        <x:v>0</x:v>
      </x:c>
    </x:row>
    <x:row r="412">
      <x:c r="A412" t="str">
        <x:v>51190</x:v>
      </x:c>
      <x:c r="B412" s="17" t="n">
        <x:v>44621</x:v>
      </x:c>
      <x:c r="C412" t="str">
        <x:v>Сидней Сити (Sydney City)</x:v>
      </x:c>
      <x:c r="D412" s="14" t="n">
        <x:v>0</x:v>
      </x:c>
      <x:c r="E412" s="20" t="n">
        <x:v>0</x:v>
      </x:c>
      <x:c r="F412" s="20" t="n">
        <x:v>0</x:v>
      </x:c>
      <x:c r="G412" s="20" t="n">
        <x:v>0</x:v>
      </x:c>
      <x:c r="H412" s="20" t="n">
        <x:f>E412-G412</x:f>
        <x:v>0</x:v>
      </x:c>
    </x:row>
    <x:row r="413">
      <x:c r="A413" t="str">
        <x:v>51190</x:v>
      </x:c>
      <x:c r="B413" s="17" t="n">
        <x:v>44652</x:v>
      </x:c>
      <x:c r="C413" t="str">
        <x:v>Сидней Сити (Sydney City)</x:v>
      </x:c>
      <x:c r="D413" s="14" t="n">
        <x:v>0</x:v>
      </x:c>
      <x:c r="E413" s="20" t="n">
        <x:v>0</x:v>
      </x:c>
      <x:c r="F413" s="20" t="n">
        <x:v>0</x:v>
      </x:c>
      <x:c r="G413" s="20" t="n">
        <x:v>0</x:v>
      </x:c>
      <x:c r="H413" s="20" t="n">
        <x:f>E413-G413</x:f>
        <x:v>0</x:v>
      </x:c>
    </x:row>
    <x:row r="414">
      <x:c r="A414" t="str">
        <x:v>51190</x:v>
      </x:c>
      <x:c r="B414" s="17" t="n">
        <x:v>44682</x:v>
      </x:c>
      <x:c r="C414" t="str">
        <x:v>Сидней Сити (Sydney City)</x:v>
      </x:c>
      <x:c r="D414" s="14" t="n">
        <x:v>0</x:v>
      </x:c>
      <x:c r="E414" s="20" t="n">
        <x:v>0</x:v>
      </x:c>
      <x:c r="F414" s="20" t="n">
        <x:v>0</x:v>
      </x:c>
      <x:c r="G414" s="20" t="n">
        <x:v>0</x:v>
      </x:c>
      <x:c r="H414" s="20" t="n">
        <x:f>E414-G414</x:f>
        <x:v>0</x:v>
      </x:c>
    </x:row>
    <x:row r="415">
      <x:c r="A415" t="str">
        <x:v>51190</x:v>
      </x:c>
      <x:c r="B415" s="17" t="n">
        <x:v>44713</x:v>
      </x:c>
      <x:c r="C415" t="str">
        <x:v>Сидней Сити (Sydney City)</x:v>
      </x:c>
      <x:c r="D415" s="14" t="n">
        <x:v>0</x:v>
      </x:c>
      <x:c r="E415" s="20" t="n">
        <x:v>0</x:v>
      </x:c>
      <x:c r="F415" s="20" t="n">
        <x:v>0</x:v>
      </x:c>
      <x:c r="G415" s="20" t="n">
        <x:v>0</x:v>
      </x:c>
      <x:c r="H415" s="20" t="n">
        <x:f>E415-G415</x:f>
        <x:v>0</x:v>
      </x:c>
    </x:row>
    <x:row r="416">
      <x:c r="A416" t="str">
        <x:v>51190</x:v>
      </x:c>
      <x:c r="B416" s="17" t="n">
        <x:v>44743</x:v>
      </x:c>
      <x:c r="C416" t="str">
        <x:v>Сидней Сити (Sydney City)</x:v>
      </x:c>
      <x:c r="D416" s="14" t="n">
        <x:v>0</x:v>
      </x:c>
      <x:c r="E416" s="20" t="n">
        <x:v>0</x:v>
      </x:c>
      <x:c r="F416" s="20" t="n">
        <x:v>0</x:v>
      </x:c>
      <x:c r="G416" s="20" t="n">
        <x:v>0</x:v>
      </x:c>
      <x:c r="H416" s="20" t="n">
        <x:f>E416-G416</x:f>
        <x:v>0</x:v>
      </x:c>
    </x:row>
    <x:row r="417">
      <x:c r="A417" t="str">
        <x:v>51190</x:v>
      </x:c>
      <x:c r="B417" s="17" t="n">
        <x:v>44774</x:v>
      </x:c>
      <x:c r="C417" t="str">
        <x:v>Сидней Сити (Sydney City)</x:v>
      </x:c>
      <x:c r="D417" s="14" t="n">
        <x:v>0</x:v>
      </x:c>
      <x:c r="E417" s="20" t="n">
        <x:v>0</x:v>
      </x:c>
      <x:c r="F417" s="20" t="n">
        <x:v>0</x:v>
      </x:c>
      <x:c r="G417" s="20" t="n">
        <x:v>0</x:v>
      </x:c>
      <x:c r="H417" s="20" t="n">
        <x:f>E417-G417</x:f>
        <x:v>0</x:v>
      </x:c>
    </x:row>
    <x:row r="418">
      <x:c r="A418" t="str">
        <x:v>51190</x:v>
      </x:c>
      <x:c r="B418" s="17" t="n">
        <x:v>44805</x:v>
      </x:c>
      <x:c r="C418" t="str">
        <x:v>Сидней Сити (Sydney City)</x:v>
      </x:c>
      <x:c r="D418" s="14" t="n">
        <x:v>0</x:v>
      </x:c>
      <x:c r="E418" s="20" t="n">
        <x:v>0</x:v>
      </x:c>
      <x:c r="F418" s="20" t="n">
        <x:v>0</x:v>
      </x:c>
      <x:c r="G418" s="20" t="n">
        <x:v>0</x:v>
      </x:c>
      <x:c r="H418" s="20" t="n">
        <x:f>E418-G418</x:f>
        <x:v>0</x:v>
      </x:c>
    </x:row>
    <x:row r="419">
      <x:c r="A419" t="str">
        <x:v>51190</x:v>
      </x:c>
      <x:c r="B419" s="17" t="n">
        <x:v>44835</x:v>
      </x:c>
      <x:c r="C419" t="str">
        <x:v>Сидней Сити (Sydney City)</x:v>
      </x:c>
      <x:c r="D419" s="14" t="n">
        <x:v>0</x:v>
      </x:c>
      <x:c r="E419" s="20" t="n">
        <x:v>0</x:v>
      </x:c>
      <x:c r="F419" s="20" t="n">
        <x:v>0</x:v>
      </x:c>
      <x:c r="G419" s="20" t="n">
        <x:v>0</x:v>
      </x:c>
      <x:c r="H419" s="20" t="n">
        <x:f>E419-G419</x:f>
        <x:v>0</x:v>
      </x:c>
    </x:row>
    <x:row r="420">
      <x:c r="A420" t="str">
        <x:v>51190</x:v>
      </x:c>
      <x:c r="B420" s="17" t="n">
        <x:v>44866</x:v>
      </x:c>
      <x:c r="C420" t="str">
        <x:v>Сидней Сити (Sydney City)</x:v>
      </x:c>
      <x:c r="D420" s="14" t="n">
        <x:v>0</x:v>
      </x:c>
      <x:c r="E420" s="20" t="n">
        <x:v>0</x:v>
      </x:c>
      <x:c r="F420" s="20" t="n">
        <x:v>0</x:v>
      </x:c>
      <x:c r="G420" s="20" t="n">
        <x:v>0</x:v>
      </x:c>
      <x:c r="H420" s="20" t="n">
        <x:f>E420-G420</x:f>
        <x:v>0</x:v>
      </x:c>
    </x:row>
    <x:row r="421">
      <x:c r="A421" t="str">
        <x:v>51190</x:v>
      </x:c>
      <x:c r="B421" s="17" t="n">
        <x:v>44896</x:v>
      </x:c>
      <x:c r="C421" t="str">
        <x:v>Сидней Сити (Sydney City)</x:v>
      </x:c>
      <x:c r="D421" s="14" t="n">
        <x:v>0</x:v>
      </x:c>
      <x:c r="E421" s="20" t="n">
        <x:v>0</x:v>
      </x:c>
      <x:c r="F421" s="20" t="n">
        <x:v>0</x:v>
      </x:c>
      <x:c r="G421" s="20" t="n">
        <x:v>0</x:v>
      </x:c>
      <x:c r="H421" s="20" t="n">
        <x:f>E421-G421</x:f>
        <x:v>0</x:v>
      </x:c>
    </x:row>
    <x:row r="422">
      <x:c r="A422" t="str">
        <x:v>51190</x:v>
      </x:c>
      <x:c r="B422" s="17" t="n">
        <x:v>44927</x:v>
      </x:c>
      <x:c r="C422" t="str">
        <x:v>Сидней Сити (Sydney City)</x:v>
      </x:c>
      <x:c r="D422" s="14" t="n">
        <x:v>0</x:v>
      </x:c>
      <x:c r="E422" s="20" t="n">
        <x:v>0</x:v>
      </x:c>
      <x:c r="F422" s="20" t="n">
        <x:v>0</x:v>
      </x:c>
      <x:c r="G422" s="20" t="n">
        <x:v>0</x:v>
      </x:c>
      <x:c r="H422" s="20" t="n">
        <x:f>E422-G422</x:f>
        <x:v>0</x:v>
      </x:c>
    </x:row>
    <x:row r="423">
      <x:c r="A423" t="str">
        <x:v>51190</x:v>
      </x:c>
      <x:c r="B423" s="17" t="n">
        <x:v>44958</x:v>
      </x:c>
      <x:c r="C423" t="str">
        <x:v>Сидней Сити (Sydney City)</x:v>
      </x:c>
      <x:c r="D423" s="14" t="n">
        <x:v>0</x:v>
      </x:c>
      <x:c r="E423" s="20" t="n">
        <x:v>0</x:v>
      </x:c>
      <x:c r="F423" s="20" t="n">
        <x:v>0</x:v>
      </x:c>
      <x:c r="G423" s="20" t="n">
        <x:v>0</x:v>
      </x:c>
      <x:c r="H423" s="20" t="n">
        <x:f>E423-G423</x:f>
        <x:v>0</x:v>
      </x:c>
    </x:row>
    <x:row r="424">
      <x:c r="A424" t="str">
        <x:v>51190</x:v>
      </x:c>
      <x:c r="B424" s="17" t="n">
        <x:v>44986</x:v>
      </x:c>
      <x:c r="C424" t="str">
        <x:v>Сидней Сити (Sydney City)</x:v>
      </x:c>
      <x:c r="D424" s="14" t="n">
        <x:v>203</x:v>
      </x:c>
      <x:c r="E424" s="20" t="n">
        <x:v>11987.9</x:v>
      </x:c>
      <x:c r="F424" s="20" t="n">
        <x:v>4854803324.7</x:v>
      </x:c>
      <x:c r="G424" s="20" t="n">
        <x:v>0</x:v>
      </x:c>
      <x:c r="H424" s="20" t="n">
        <x:f>E424-G424</x:f>
        <x:v>11987.9</x:v>
      </x:c>
    </x:row>
    <x:row r="425">
      <x:c r="A425" t="str">
        <x:v>51190</x:v>
      </x:c>
      <x:c r="B425" s="17" t="n">
        <x:v>45017</x:v>
      </x:c>
      <x:c r="C425" t="str">
        <x:v>Сидней Сити (Sydney City)</x:v>
      </x:c>
      <x:c r="D425" s="14" t="n">
        <x:v>3</x:v>
      </x:c>
      <x:c r="E425" s="20" t="n">
        <x:v>252.8</x:v>
      </x:c>
      <x:c r="F425" s="20" t="n">
        <x:v>119041932</x:v>
      </x:c>
      <x:c r="G425" s="20" t="n">
        <x:v>112</x:v>
      </x:c>
      <x:c r="H425" s="20" t="n">
        <x:f>E425-G425</x:f>
        <x:v>140.8</x:v>
      </x:c>
    </x:row>
    <x:row r="426">
      <x:c r="A426" t="str">
        <x:v>51190</x:v>
      </x:c>
      <x:c r="B426" s="17" t="n">
        <x:v>45047</x:v>
      </x:c>
      <x:c r="C426" t="str">
        <x:v>Сидней Сити (Sydney City)</x:v>
      </x:c>
      <x:c r="D426" s="14" t="n">
        <x:v>0</x:v>
      </x:c>
      <x:c r="E426" s="20" t="n">
        <x:v>0</x:v>
      </x:c>
      <x:c r="F426" s="20" t="n">
        <x:v>0</x:v>
      </x:c>
      <x:c r="G426" s="20" t="n">
        <x:v>0</x:v>
      </x:c>
      <x:c r="H426" s="20" t="n">
        <x:f>E426-G426</x:f>
        <x:v>0</x:v>
      </x:c>
    </x:row>
    <x:row r="427">
      <x:c r="A427" t="str">
        <x:v>51190</x:v>
      </x:c>
      <x:c r="B427" s="17" t="n">
        <x:v>45078</x:v>
      </x:c>
      <x:c r="C427" t="str">
        <x:v>Сидней Сити (Sydney City)</x:v>
      </x:c>
      <x:c r="D427" s="14" t="n">
        <x:v>2</x:v>
      </x:c>
      <x:c r="E427" s="20" t="n">
        <x:v>125.9</x:v>
      </x:c>
      <x:c r="F427" s="20" t="n">
        <x:v>60927346</x:v>
      </x:c>
      <x:c r="G427" s="20" t="n">
        <x:v>37.4</x:v>
      </x:c>
      <x:c r="H427" s="20" t="n">
        <x:f>E427-G427</x:f>
        <x:v>88.5</x:v>
      </x:c>
    </x:row>
    <x:row r="428">
      <x:c r="A428" t="str">
        <x:v>51191</x:v>
      </x:c>
      <x:c r="B428" s="17" t="n">
        <x:v>44197</x:v>
      </x:c>
      <x:c r="C428" t="str">
        <x:v>Сидней Сити (Sydney City)</x:v>
      </x:c>
      <x:c r="D428" s="14" t="n">
        <x:v>0</x:v>
      </x:c>
      <x:c r="E428" s="20" t="n">
        <x:v>0</x:v>
      </x:c>
      <x:c r="F428" s="20" t="n">
        <x:v>0</x:v>
      </x:c>
      <x:c r="G428" s="20" t="n">
        <x:v>0</x:v>
      </x:c>
      <x:c r="H428" s="20" t="n">
        <x:f>E428-G428</x:f>
        <x:v>0</x:v>
      </x:c>
    </x:row>
    <x:row r="429">
      <x:c r="A429" t="str">
        <x:v>51191</x:v>
      </x:c>
      <x:c r="B429" s="17" t="n">
        <x:v>44228</x:v>
      </x:c>
      <x:c r="C429" t="str">
        <x:v>Сидней Сити (Sydney City)</x:v>
      </x:c>
      <x:c r="D429" s="14" t="n">
        <x:v>0</x:v>
      </x:c>
      <x:c r="E429" s="20" t="n">
        <x:v>0</x:v>
      </x:c>
      <x:c r="F429" s="20" t="n">
        <x:v>0</x:v>
      </x:c>
      <x:c r="G429" s="20" t="n">
        <x:v>0</x:v>
      </x:c>
      <x:c r="H429" s="20" t="n">
        <x:f>E429-G429</x:f>
        <x:v>0</x:v>
      </x:c>
    </x:row>
    <x:row r="430">
      <x:c r="A430" t="str">
        <x:v>51191</x:v>
      </x:c>
      <x:c r="B430" s="17" t="n">
        <x:v>44256</x:v>
      </x:c>
      <x:c r="C430" t="str">
        <x:v>Сидней Сити (Sydney City)</x:v>
      </x:c>
      <x:c r="D430" s="14" t="n">
        <x:v>0</x:v>
      </x:c>
      <x:c r="E430" s="20" t="n">
        <x:v>0</x:v>
      </x:c>
      <x:c r="F430" s="20" t="n">
        <x:v>0</x:v>
      </x:c>
      <x:c r="G430" s="20" t="n">
        <x:v>0</x:v>
      </x:c>
      <x:c r="H430" s="20" t="n">
        <x:f>E430-G430</x:f>
        <x:v>0</x:v>
      </x:c>
    </x:row>
    <x:row r="431">
      <x:c r="A431" t="str">
        <x:v>51191</x:v>
      </x:c>
      <x:c r="B431" s="17" t="n">
        <x:v>44287</x:v>
      </x:c>
      <x:c r="C431" t="str">
        <x:v>Сидней Сити (Sydney City)</x:v>
      </x:c>
      <x:c r="D431" s="14" t="n">
        <x:v>0</x:v>
      </x:c>
      <x:c r="E431" s="20" t="n">
        <x:v>0</x:v>
      </x:c>
      <x:c r="F431" s="20" t="n">
        <x:v>0</x:v>
      </x:c>
      <x:c r="G431" s="20" t="n">
        <x:v>0</x:v>
      </x:c>
      <x:c r="H431" s="20" t="n">
        <x:f>E431-G431</x:f>
        <x:v>0</x:v>
      </x:c>
    </x:row>
    <x:row r="432">
      <x:c r="A432" t="str">
        <x:v>51191</x:v>
      </x:c>
      <x:c r="B432" s="17" t="n">
        <x:v>44317</x:v>
      </x:c>
      <x:c r="C432" t="str">
        <x:v>Сидней Сити (Sydney City)</x:v>
      </x:c>
      <x:c r="D432" s="14" t="n">
        <x:v>0</x:v>
      </x:c>
      <x:c r="E432" s="20" t="n">
        <x:v>0</x:v>
      </x:c>
      <x:c r="F432" s="20" t="n">
        <x:v>0</x:v>
      </x:c>
      <x:c r="G432" s="20" t="n">
        <x:v>0</x:v>
      </x:c>
      <x:c r="H432" s="20" t="n">
        <x:f>E432-G432</x:f>
        <x:v>0</x:v>
      </x:c>
    </x:row>
    <x:row r="433">
      <x:c r="A433" t="str">
        <x:v>51191</x:v>
      </x:c>
      <x:c r="B433" s="17" t="n">
        <x:v>44348</x:v>
      </x:c>
      <x:c r="C433" t="str">
        <x:v>Сидней Сити (Sydney City)</x:v>
      </x:c>
      <x:c r="D433" s="14" t="n">
        <x:v>0</x:v>
      </x:c>
      <x:c r="E433" s="20" t="n">
        <x:v>0</x:v>
      </x:c>
      <x:c r="F433" s="20" t="n">
        <x:v>0</x:v>
      </x:c>
      <x:c r="G433" s="20" t="n">
        <x:v>0</x:v>
      </x:c>
      <x:c r="H433" s="20" t="n">
        <x:f>E433-G433</x:f>
        <x:v>0</x:v>
      </x:c>
    </x:row>
    <x:row r="434">
      <x:c r="A434" t="str">
        <x:v>51191</x:v>
      </x:c>
      <x:c r="B434" s="17" t="n">
        <x:v>44378</x:v>
      </x:c>
      <x:c r="C434" t="str">
        <x:v>Сидней Сити (Sydney City)</x:v>
      </x:c>
      <x:c r="D434" s="14" t="n">
        <x:v>0</x:v>
      </x:c>
      <x:c r="E434" s="20" t="n">
        <x:v>0</x:v>
      </x:c>
      <x:c r="F434" s="20" t="n">
        <x:v>0</x:v>
      </x:c>
      <x:c r="G434" s="20" t="n">
        <x:v>0</x:v>
      </x:c>
      <x:c r="H434" s="20" t="n">
        <x:f>E434-G434</x:f>
        <x:v>0</x:v>
      </x:c>
    </x:row>
    <x:row r="435">
      <x:c r="A435" t="str">
        <x:v>51191</x:v>
      </x:c>
      <x:c r="B435" s="17" t="n">
        <x:v>44409</x:v>
      </x:c>
      <x:c r="C435" t="str">
        <x:v>Сидней Сити (Sydney City)</x:v>
      </x:c>
      <x:c r="D435" s="14" t="n">
        <x:v>0</x:v>
      </x:c>
      <x:c r="E435" s="20" t="n">
        <x:v>0</x:v>
      </x:c>
      <x:c r="F435" s="20" t="n">
        <x:v>0</x:v>
      </x:c>
      <x:c r="G435" s="20" t="n">
        <x:v>0</x:v>
      </x:c>
      <x:c r="H435" s="20" t="n">
        <x:f>E435-G435</x:f>
        <x:v>0</x:v>
      </x:c>
    </x:row>
    <x:row r="436">
      <x:c r="A436" t="str">
        <x:v>51191</x:v>
      </x:c>
      <x:c r="B436" s="17" t="n">
        <x:v>44440</x:v>
      </x:c>
      <x:c r="C436" t="str">
        <x:v>Сидней Сити (Sydney City)</x:v>
      </x:c>
      <x:c r="D436" s="14" t="n">
        <x:v>0</x:v>
      </x:c>
      <x:c r="E436" s="20" t="n">
        <x:v>0</x:v>
      </x:c>
      <x:c r="F436" s="20" t="n">
        <x:v>0</x:v>
      </x:c>
      <x:c r="G436" s="20" t="n">
        <x:v>0</x:v>
      </x:c>
      <x:c r="H436" s="20" t="n">
        <x:f>E436-G436</x:f>
        <x:v>0</x:v>
      </x:c>
    </x:row>
    <x:row r="437">
      <x:c r="A437" t="str">
        <x:v>51191</x:v>
      </x:c>
      <x:c r="B437" s="17" t="n">
        <x:v>44470</x:v>
      </x:c>
      <x:c r="C437" t="str">
        <x:v>Сидней Сити (Sydney City)</x:v>
      </x:c>
      <x:c r="D437" s="14" t="n">
        <x:v>0</x:v>
      </x:c>
      <x:c r="E437" s="20" t="n">
        <x:v>0</x:v>
      </x:c>
      <x:c r="F437" s="20" t="n">
        <x:v>0</x:v>
      </x:c>
      <x:c r="G437" s="20" t="n">
        <x:v>0</x:v>
      </x:c>
      <x:c r="H437" s="20" t="n">
        <x:f>E437-G437</x:f>
        <x:v>0</x:v>
      </x:c>
    </x:row>
    <x:row r="438">
      <x:c r="A438" t="str">
        <x:v>51191</x:v>
      </x:c>
      <x:c r="B438" s="17" t="n">
        <x:v>44501</x:v>
      </x:c>
      <x:c r="C438" t="str">
        <x:v>Сидней Сити (Sydney City)</x:v>
      </x:c>
      <x:c r="D438" s="14" t="n">
        <x:v>0</x:v>
      </x:c>
      <x:c r="E438" s="20" t="n">
        <x:v>0</x:v>
      </x:c>
      <x:c r="F438" s="20" t="n">
        <x:v>0</x:v>
      </x:c>
      <x:c r="G438" s="20" t="n">
        <x:v>0</x:v>
      </x:c>
      <x:c r="H438" s="20" t="n">
        <x:f>E438-G438</x:f>
        <x:v>0</x:v>
      </x:c>
    </x:row>
    <x:row r="439">
      <x:c r="A439" t="str">
        <x:v>51191</x:v>
      </x:c>
      <x:c r="B439" s="17" t="n">
        <x:v>44531</x:v>
      </x:c>
      <x:c r="C439" t="str">
        <x:v>Сидней Сити (Sydney City)</x:v>
      </x:c>
      <x:c r="D439" s="14" t="n">
        <x:v>0</x:v>
      </x:c>
      <x:c r="E439" s="20" t="n">
        <x:v>0</x:v>
      </x:c>
      <x:c r="F439" s="20" t="n">
        <x:v>0</x:v>
      </x:c>
      <x:c r="G439" s="20" t="n">
        <x:v>0</x:v>
      </x:c>
      <x:c r="H439" s="20" t="n">
        <x:f>E439-G439</x:f>
        <x:v>0</x:v>
      </x:c>
    </x:row>
    <x:row r="440">
      <x:c r="A440" t="str">
        <x:v>51191</x:v>
      </x:c>
      <x:c r="B440" s="17" t="n">
        <x:v>44562</x:v>
      </x:c>
      <x:c r="C440" t="str">
        <x:v>Сидней Сити (Sydney City)</x:v>
      </x:c>
      <x:c r="D440" s="14" t="n">
        <x:v>0</x:v>
      </x:c>
      <x:c r="E440" s="20" t="n">
        <x:v>0</x:v>
      </x:c>
      <x:c r="F440" s="20" t="n">
        <x:v>0</x:v>
      </x:c>
      <x:c r="G440" s="20" t="n">
        <x:v>0</x:v>
      </x:c>
      <x:c r="H440" s="20" t="n">
        <x:f>E440-G440</x:f>
        <x:v>0</x:v>
      </x:c>
    </x:row>
    <x:row r="441">
      <x:c r="A441" t="str">
        <x:v>51191</x:v>
      </x:c>
      <x:c r="B441" s="17" t="n">
        <x:v>44593</x:v>
      </x:c>
      <x:c r="C441" t="str">
        <x:v>Сидней Сити (Sydney City)</x:v>
      </x:c>
      <x:c r="D441" s="14" t="n">
        <x:v>0</x:v>
      </x:c>
      <x:c r="E441" s="20" t="n">
        <x:v>0</x:v>
      </x:c>
      <x:c r="F441" s="20" t="n">
        <x:v>0</x:v>
      </x:c>
      <x:c r="G441" s="20" t="n">
        <x:v>0</x:v>
      </x:c>
      <x:c r="H441" s="20" t="n">
        <x:f>E441-G441</x:f>
        <x:v>0</x:v>
      </x:c>
    </x:row>
    <x:row r="442">
      <x:c r="A442" t="str">
        <x:v>51191</x:v>
      </x:c>
      <x:c r="B442" s="17" t="n">
        <x:v>44621</x:v>
      </x:c>
      <x:c r="C442" t="str">
        <x:v>Сидней Сити (Sydney City)</x:v>
      </x:c>
      <x:c r="D442" s="14" t="n">
        <x:v>0</x:v>
      </x:c>
      <x:c r="E442" s="20" t="n">
        <x:v>0</x:v>
      </x:c>
      <x:c r="F442" s="20" t="n">
        <x:v>0</x:v>
      </x:c>
      <x:c r="G442" s="20" t="n">
        <x:v>0</x:v>
      </x:c>
      <x:c r="H442" s="20" t="n">
        <x:f>E442-G442</x:f>
        <x:v>0</x:v>
      </x:c>
    </x:row>
    <x:row r="443">
      <x:c r="A443" t="str">
        <x:v>51191</x:v>
      </x:c>
      <x:c r="B443" s="17" t="n">
        <x:v>44652</x:v>
      </x:c>
      <x:c r="C443" t="str">
        <x:v>Сидней Сити (Sydney City)</x:v>
      </x:c>
      <x:c r="D443" s="14" t="n">
        <x:v>0</x:v>
      </x:c>
      <x:c r="E443" s="20" t="n">
        <x:v>0</x:v>
      </x:c>
      <x:c r="F443" s="20" t="n">
        <x:v>0</x:v>
      </x:c>
      <x:c r="G443" s="20" t="n">
        <x:v>0</x:v>
      </x:c>
      <x:c r="H443" s="20" t="n">
        <x:f>E443-G443</x:f>
        <x:v>0</x:v>
      </x:c>
    </x:row>
    <x:row r="444">
      <x:c r="A444" t="str">
        <x:v>51191</x:v>
      </x:c>
      <x:c r="B444" s="17" t="n">
        <x:v>44682</x:v>
      </x:c>
      <x:c r="C444" t="str">
        <x:v>Сидней Сити (Sydney City)</x:v>
      </x:c>
      <x:c r="D444" s="14" t="n">
        <x:v>0</x:v>
      </x:c>
      <x:c r="E444" s="20" t="n">
        <x:v>0</x:v>
      </x:c>
      <x:c r="F444" s="20" t="n">
        <x:v>0</x:v>
      </x:c>
      <x:c r="G444" s="20" t="n">
        <x:v>0</x:v>
      </x:c>
      <x:c r="H444" s="20" t="n">
        <x:f>E444-G444</x:f>
        <x:v>0</x:v>
      </x:c>
    </x:row>
    <x:row r="445">
      <x:c r="A445" t="str">
        <x:v>51191</x:v>
      </x:c>
      <x:c r="B445" s="17" t="n">
        <x:v>44713</x:v>
      </x:c>
      <x:c r="C445" t="str">
        <x:v>Сидней Сити (Sydney City)</x:v>
      </x:c>
      <x:c r="D445" s="14" t="n">
        <x:v>0</x:v>
      </x:c>
      <x:c r="E445" s="20" t="n">
        <x:v>0</x:v>
      </x:c>
      <x:c r="F445" s="20" t="n">
        <x:v>0</x:v>
      </x:c>
      <x:c r="G445" s="20" t="n">
        <x:v>0</x:v>
      </x:c>
      <x:c r="H445" s="20" t="n">
        <x:f>E445-G445</x:f>
        <x:v>0</x:v>
      </x:c>
    </x:row>
    <x:row r="446">
      <x:c r="A446" t="str">
        <x:v>51191</x:v>
      </x:c>
      <x:c r="B446" s="17" t="n">
        <x:v>44743</x:v>
      </x:c>
      <x:c r="C446" t="str">
        <x:v>Сидней Сити (Sydney City)</x:v>
      </x:c>
      <x:c r="D446" s="14" t="n">
        <x:v>0</x:v>
      </x:c>
      <x:c r="E446" s="20" t="n">
        <x:v>0</x:v>
      </x:c>
      <x:c r="F446" s="20" t="n">
        <x:v>0</x:v>
      </x:c>
      <x:c r="G446" s="20" t="n">
        <x:v>0</x:v>
      </x:c>
      <x:c r="H446" s="20" t="n">
        <x:f>E446-G446</x:f>
        <x:v>0</x:v>
      </x:c>
    </x:row>
    <x:row r="447">
      <x:c r="A447" t="str">
        <x:v>51191</x:v>
      </x:c>
      <x:c r="B447" s="17" t="n">
        <x:v>44774</x:v>
      </x:c>
      <x:c r="C447" t="str">
        <x:v>Сидней Сити (Sydney City)</x:v>
      </x:c>
      <x:c r="D447" s="14" t="n">
        <x:v>0</x:v>
      </x:c>
      <x:c r="E447" s="20" t="n">
        <x:v>0</x:v>
      </x:c>
      <x:c r="F447" s="20" t="n">
        <x:v>0</x:v>
      </x:c>
      <x:c r="G447" s="20" t="n">
        <x:v>0</x:v>
      </x:c>
      <x:c r="H447" s="20" t="n">
        <x:f>E447-G447</x:f>
        <x:v>0</x:v>
      </x:c>
    </x:row>
    <x:row r="448">
      <x:c r="A448" t="str">
        <x:v>51191</x:v>
      </x:c>
      <x:c r="B448" s="17" t="n">
        <x:v>44805</x:v>
      </x:c>
      <x:c r="C448" t="str">
        <x:v>Сидней Сити (Sydney City)</x:v>
      </x:c>
      <x:c r="D448" s="14" t="n">
        <x:v>0</x:v>
      </x:c>
      <x:c r="E448" s="20" t="n">
        <x:v>0</x:v>
      </x:c>
      <x:c r="F448" s="20" t="n">
        <x:v>0</x:v>
      </x:c>
      <x:c r="G448" s="20" t="n">
        <x:v>0</x:v>
      </x:c>
      <x:c r="H448" s="20" t="n">
        <x:f>E448-G448</x:f>
        <x:v>0</x:v>
      </x:c>
    </x:row>
    <x:row r="449">
      <x:c r="A449" t="str">
        <x:v>51191</x:v>
      </x:c>
      <x:c r="B449" s="17" t="n">
        <x:v>44835</x:v>
      </x:c>
      <x:c r="C449" t="str">
        <x:v>Сидней Сити (Sydney City)</x:v>
      </x:c>
      <x:c r="D449" s="14" t="n">
        <x:v>0</x:v>
      </x:c>
      <x:c r="E449" s="20" t="n">
        <x:v>0</x:v>
      </x:c>
      <x:c r="F449" s="20" t="n">
        <x:v>0</x:v>
      </x:c>
      <x:c r="G449" s="20" t="n">
        <x:v>0</x:v>
      </x:c>
      <x:c r="H449" s="20" t="n">
        <x:f>E449-G449</x:f>
        <x:v>0</x:v>
      </x:c>
    </x:row>
    <x:row r="450">
      <x:c r="A450" t="str">
        <x:v>51191</x:v>
      </x:c>
      <x:c r="B450" s="17" t="n">
        <x:v>44866</x:v>
      </x:c>
      <x:c r="C450" t="str">
        <x:v>Сидней Сити (Sydney City)</x:v>
      </x:c>
      <x:c r="D450" s="14" t="n">
        <x:v>0</x:v>
      </x:c>
      <x:c r="E450" s="20" t="n">
        <x:v>0</x:v>
      </x:c>
      <x:c r="F450" s="20" t="n">
        <x:v>0</x:v>
      </x:c>
      <x:c r="G450" s="20" t="n">
        <x:v>0</x:v>
      </x:c>
      <x:c r="H450" s="20" t="n">
        <x:f>E450-G450</x:f>
        <x:v>0</x:v>
      </x:c>
    </x:row>
    <x:row r="451">
      <x:c r="A451" t="str">
        <x:v>51191</x:v>
      </x:c>
      <x:c r="B451" s="17" t="n">
        <x:v>44896</x:v>
      </x:c>
      <x:c r="C451" t="str">
        <x:v>Сидней Сити (Sydney City)</x:v>
      </x:c>
      <x:c r="D451" s="14" t="n">
        <x:v>0</x:v>
      </x:c>
      <x:c r="E451" s="20" t="n">
        <x:v>0</x:v>
      </x:c>
      <x:c r="F451" s="20" t="n">
        <x:v>0</x:v>
      </x:c>
      <x:c r="G451" s="20" t="n">
        <x:v>0</x:v>
      </x:c>
      <x:c r="H451" s="20" t="n">
        <x:f>E451-G451</x:f>
        <x:v>0</x:v>
      </x:c>
    </x:row>
    <x:row r="452">
      <x:c r="A452" t="str">
        <x:v>51191</x:v>
      </x:c>
      <x:c r="B452" s="17" t="n">
        <x:v>44927</x:v>
      </x:c>
      <x:c r="C452" t="str">
        <x:v>Сидней Сити (Sydney City)</x:v>
      </x:c>
      <x:c r="D452" s="14" t="n">
        <x:v>0</x:v>
      </x:c>
      <x:c r="E452" s="20" t="n">
        <x:v>0</x:v>
      </x:c>
      <x:c r="F452" s="20" t="n">
        <x:v>0</x:v>
      </x:c>
      <x:c r="G452" s="20" t="n">
        <x:v>0</x:v>
      </x:c>
      <x:c r="H452" s="20" t="n">
        <x:f>E452-G452</x:f>
        <x:v>0</x:v>
      </x:c>
    </x:row>
    <x:row r="453">
      <x:c r="A453" t="str">
        <x:v>51191</x:v>
      </x:c>
      <x:c r="B453" s="17" t="n">
        <x:v>44958</x:v>
      </x:c>
      <x:c r="C453" t="str">
        <x:v>Сидней Сити (Sydney City)</x:v>
      </x:c>
      <x:c r="D453" s="14" t="n">
        <x:v>0</x:v>
      </x:c>
      <x:c r="E453" s="20" t="n">
        <x:v>0</x:v>
      </x:c>
      <x:c r="F453" s="20" t="n">
        <x:v>0</x:v>
      </x:c>
      <x:c r="G453" s="20" t="n">
        <x:v>0</x:v>
      </x:c>
      <x:c r="H453" s="20" t="n">
        <x:f>E453-G453</x:f>
        <x:v>0</x:v>
      </x:c>
    </x:row>
    <x:row r="454">
      <x:c r="A454" t="str">
        <x:v>51191</x:v>
      </x:c>
      <x:c r="B454" s="17" t="n">
        <x:v>44986</x:v>
      </x:c>
      <x:c r="C454" t="str">
        <x:v>Сидней Сити (Sydney City)</x:v>
      </x:c>
      <x:c r="D454" s="14" t="n">
        <x:v>278</x:v>
      </x:c>
      <x:c r="E454" s="20" t="n">
        <x:v>16702.4</x:v>
      </x:c>
      <x:c r="F454" s="20" t="n">
        <x:v>7847113689.25</x:v>
      </x:c>
      <x:c r="G454" s="20" t="n">
        <x:v>0</x:v>
      </x:c>
      <x:c r="H454" s="20" t="n">
        <x:f>E454-G454</x:f>
        <x:v>16702.4</x:v>
      </x:c>
    </x:row>
    <x:row r="455">
      <x:c r="A455" t="str">
        <x:v>51191</x:v>
      </x:c>
      <x:c r="B455" s="17" t="n">
        <x:v>45017</x:v>
      </x:c>
      <x:c r="C455" t="str">
        <x:v>Сидней Сити (Sydney City)</x:v>
      </x:c>
      <x:c r="D455" s="14" t="n">
        <x:v>5</x:v>
      </x:c>
      <x:c r="E455" s="20" t="n">
        <x:v>319.1</x:v>
      </x:c>
      <x:c r="F455" s="20" t="n">
        <x:v>150578357</x:v>
      </x:c>
      <x:c r="G455" s="20" t="n">
        <x:v>0</x:v>
      </x:c>
      <x:c r="H455" s="20" t="n">
        <x:f>E455-G455</x:f>
        <x:v>319.1</x:v>
      </x:c>
    </x:row>
    <x:row r="456">
      <x:c r="A456" t="str">
        <x:v>51191</x:v>
      </x:c>
      <x:c r="B456" s="17" t="n">
        <x:v>45047</x:v>
      </x:c>
      <x:c r="C456" t="str">
        <x:v>Сидней Сити (Sydney City)</x:v>
      </x:c>
      <x:c r="D456" s="14" t="n">
        <x:v>7</x:v>
      </x:c>
      <x:c r="E456" s="20" t="n">
        <x:v>440.7</x:v>
      </x:c>
      <x:c r="F456" s="20" t="n">
        <x:v>183975380</x:v>
      </x:c>
      <x:c r="G456" s="20" t="n">
        <x:v>0</x:v>
      </x:c>
      <x:c r="H456" s="20" t="n">
        <x:f>E456-G456</x:f>
        <x:v>440.7</x:v>
      </x:c>
    </x:row>
    <x:row r="457">
      <x:c r="A457" t="str">
        <x:v>51191</x:v>
      </x:c>
      <x:c r="B457" s="17" t="n">
        <x:v>45078</x:v>
      </x:c>
      <x:c r="C457" t="str">
        <x:v>Сидней Сити (Sydney City)</x:v>
      </x:c>
      <x:c r="D457" s="14" t="n">
        <x:v>5</x:v>
      </x:c>
      <x:c r="E457" s="20" t="n">
        <x:v>311.4</x:v>
      </x:c>
      <x:c r="F457" s="20" t="n">
        <x:v>145039199</x:v>
      </x:c>
      <x:c r="G457" s="20" t="n">
        <x:v>64.3</x:v>
      </x:c>
      <x:c r="H457" s="20" t="n">
        <x:f>E457-G457</x:f>
        <x:v>247.09999999999997</x:v>
      </x:c>
    </x:row>
    <x:row r="458">
      <x:c r="A458" t="str">
        <x:v>51191</x:v>
      </x:c>
      <x:c r="B458" s="17" t="n">
        <x:v>45108</x:v>
      </x:c>
      <x:c r="C458" t="str">
        <x:v>Сидней Сити (Sydney City)</x:v>
      </x:c>
      <x:c r="D458" s="14" t="n">
        <x:v>13</x:v>
      </x:c>
      <x:c r="E458" s="20" t="n">
        <x:v>740</x:v>
      </x:c>
      <x:c r="F458" s="20" t="n">
        <x:v>357740137</x:v>
      </x:c>
      <x:c r="G458" s="20" t="n">
        <x:v>64.3</x:v>
      </x:c>
      <x:c r="H458" s="20" t="n">
        <x:f>E458-G458</x:f>
        <x:v>675.7</x:v>
      </x:c>
    </x:row>
    <x:row r="459">
      <x:c r="A459" t="str">
        <x:v>54178</x:v>
      </x:c>
      <x:c r="B459" s="17" t="n">
        <x:v>45231</x:v>
      </x:c>
      <x:c r="C459" t="str">
        <x:v>Академик</x:v>
      </x:c>
      <x:c r="D459" s="14" t="n">
        <x:v>0</x:v>
      </x:c>
      <x:c r="E459" s="20" t="n">
        <x:v>0</x:v>
      </x:c>
      <x:c r="F459" s="20" t="n">
        <x:v>0</x:v>
      </x:c>
      <x:c r="G459" s="20" t="n">
        <x:v>0</x:v>
      </x:c>
      <x:c r="H459" s="20" t="n">
        <x:f>E459-G459</x:f>
        <x:v>0</x:v>
      </x:c>
    </x:row>
    <x:row r="460">
      <x:c r="A460" t="str">
        <x:v>54178</x:v>
      </x:c>
      <x:c r="B460" s="17" t="n">
        <x:v>45261</x:v>
      </x:c>
      <x:c r="C460" t="str">
        <x:v>Академик</x:v>
      </x:c>
      <x:c r="D460" s="14" t="n">
        <x:v>358</x:v>
      </x:c>
      <x:c r="E460" s="20" t="n">
        <x:v>19112.2</x:v>
      </x:c>
      <x:c r="F460" s="20" t="n">
        <x:v>3173466136.8</x:v>
      </x:c>
      <x:c r="G460" s="20" t="n">
        <x:v>0</x:v>
      </x:c>
      <x:c r="H460" s="20" t="n">
        <x:f>E460-G460</x:f>
        <x:v>19112.2</x:v>
      </x:c>
    </x:row>
    <x:row r="461">
      <x:c r="A461" t="str">
        <x:v>54178</x:v>
      </x:c>
      <x:c r="B461" s="17" t="n">
        <x:v>45292</x:v>
      </x:c>
      <x:c r="C461" t="str">
        <x:v>Академик</x:v>
      </x:c>
      <x:c r="D461" s="14" t="n">
        <x:v>0</x:v>
      </x:c>
      <x:c r="E461" s="20" t="n">
        <x:v>0</x:v>
      </x:c>
      <x:c r="F461" s="20" t="n">
        <x:v>0</x:v>
      </x:c>
      <x:c r="G461" s="20" t="n">
        <x:v>0</x:v>
      </x:c>
      <x:c r="H461" s="20" t="n">
        <x:f>E461-G461</x:f>
        <x:v>0</x:v>
      </x:c>
    </x:row>
    <x:row r="462">
      <x:c r="A462" t="str">
        <x:v>54178</x:v>
      </x:c>
      <x:c r="B462" s="17" t="n">
        <x:v>45323</x:v>
      </x:c>
      <x:c r="C462" t="str">
        <x:v>Академик</x:v>
      </x:c>
      <x:c r="D462" s="14" t="n">
        <x:v>0</x:v>
      </x:c>
      <x:c r="E462" s="20" t="n">
        <x:v>0</x:v>
      </x:c>
      <x:c r="F462" s="20" t="n">
        <x:v>0</x:v>
      </x:c>
      <x:c r="G462" s="20" t="n">
        <x:v>0</x:v>
      </x:c>
      <x:c r="H462" s="20" t="n">
        <x:f>E462-G462</x:f>
        <x:v>0</x:v>
      </x:c>
    </x:row>
    <x:row r="463">
      <x:c r="A463" t="str">
        <x:v>54178</x:v>
      </x:c>
      <x:c r="B463" s="17" t="n">
        <x:v>45352</x:v>
      </x:c>
      <x:c r="C463" t="str">
        <x:v>Академик</x:v>
      </x:c>
      <x:c r="D463" s="14" t="n">
        <x:v>0</x:v>
      </x:c>
      <x:c r="E463" s="20" t="n">
        <x:v>0</x:v>
      </x:c>
      <x:c r="F463" s="20" t="n">
        <x:v>0</x:v>
      </x:c>
      <x:c r="G463" s="20" t="n">
        <x:v>0</x:v>
      </x:c>
      <x:c r="H463" s="20" t="n">
        <x:f>E463-G463</x:f>
        <x:v>0</x:v>
      </x:c>
    </x:row>
    <x:row r="464">
      <x:c r="A464" t="str">
        <x:v>54178</x:v>
      </x:c>
      <x:c r="B464" s="17" t="n">
        <x:v>45383</x:v>
      </x:c>
      <x:c r="C464" t="str">
        <x:v>Академик</x:v>
      </x:c>
      <x:c r="D464" s="14" t="n">
        <x:v>0</x:v>
      </x:c>
      <x:c r="E464" s="20" t="n">
        <x:v>0</x:v>
      </x:c>
      <x:c r="F464" s="20" t="n">
        <x:v>0</x:v>
      </x:c>
      <x:c r="G464" s="20" t="n">
        <x:v>0</x:v>
      </x:c>
      <x:c r="H464" s="20" t="n">
        <x:f>E464-G464</x:f>
        <x:v>0</x:v>
      </x:c>
    </x:row>
    <x:row r="465">
      <x:c r="A465" t="str">
        <x:v>54178</x:v>
      </x:c>
      <x:c r="B465" s="17" t="n">
        <x:v>45413</x:v>
      </x:c>
      <x:c r="C465" t="str">
        <x:v>Академик</x:v>
      </x:c>
      <x:c r="D465" s="14" t="n">
        <x:v>0</x:v>
      </x:c>
      <x:c r="E465" s="20" t="n">
        <x:v>0</x:v>
      </x:c>
      <x:c r="F465" s="20" t="n">
        <x:v>0</x:v>
      </x:c>
      <x:c r="G465" s="20" t="n">
        <x:v>0</x:v>
      </x:c>
      <x:c r="H465" s="20" t="n">
        <x:f>E465-G465</x:f>
        <x:v>0</x:v>
      </x:c>
    </x:row>
    <x:row r="466">
      <x:c r="A466" t="str">
        <x:v>54178</x:v>
      </x:c>
      <x:c r="B466" s="17" t="n">
        <x:v>45444</x:v>
      </x:c>
      <x:c r="C466" t="str">
        <x:v>Академик</x:v>
      </x:c>
      <x:c r="D466" s="14" t="n">
        <x:v>0</x:v>
      </x:c>
      <x:c r="E466" s="20" t="n">
        <x:v>0</x:v>
      </x:c>
      <x:c r="F466" s="20" t="n">
        <x:v>0</x:v>
      </x:c>
      <x:c r="G466" s="20" t="n">
        <x:v>0</x:v>
      </x:c>
      <x:c r="H466" s="20" t="n">
        <x:f>E466-G466</x:f>
        <x:v>0</x:v>
      </x:c>
    </x:row>
    <x:row r="467">
      <x:c r="A467" t="str">
        <x:v>54178</x:v>
      </x:c>
      <x:c r="B467" s="17" t="n">
        <x:v>45474</x:v>
      </x:c>
      <x:c r="C467" t="str">
        <x:v>Академик</x:v>
      </x:c>
      <x:c r="D467" s="14" t="n">
        <x:v>0</x:v>
      </x:c>
      <x:c r="E467" s="20" t="n">
        <x:v>0</x:v>
      </x:c>
      <x:c r="F467" s="20" t="n">
        <x:v>0</x:v>
      </x:c>
      <x:c r="G467" s="20" t="n">
        <x:v>0</x:v>
      </x:c>
      <x:c r="H467" s="20" t="n">
        <x:f>E467-G467</x:f>
        <x:v>0</x:v>
      </x:c>
    </x:row>
    <x:row r="468">
      <x:c r="A468" t="str">
        <x:v>54178</x:v>
      </x:c>
      <x:c r="B468" s="17" t="n">
        <x:v>45505</x:v>
      </x:c>
      <x:c r="C468" t="str">
        <x:v>Академик</x:v>
      </x:c>
      <x:c r="D468" s="14" t="n">
        <x:v>0</x:v>
      </x:c>
      <x:c r="E468" s="20" t="n">
        <x:v>0</x:v>
      </x:c>
      <x:c r="F468" s="20" t="n">
        <x:v>0</x:v>
      </x:c>
      <x:c r="G468" s="20" t="n">
        <x:v>0</x:v>
      </x:c>
      <x:c r="H468" s="20" t="n">
        <x:f>E468-G468</x:f>
        <x:v>0</x:v>
      </x:c>
    </x:row>
    <x:row r="469">
      <x:c r="A469" t="str">
        <x:v>54178</x:v>
      </x:c>
      <x:c r="B469" s="17" t="n">
        <x:v>45536</x:v>
      </x:c>
      <x:c r="C469" t="str">
        <x:v>Академик</x:v>
      </x:c>
      <x:c r="D469" s="14" t="n">
        <x:v>0</x:v>
      </x:c>
      <x:c r="E469" s="20" t="n">
        <x:v>0</x:v>
      </x:c>
      <x:c r="F469" s="20" t="n">
        <x:v>0</x:v>
      </x:c>
      <x:c r="G469" s="20" t="n">
        <x:v>0</x:v>
      </x:c>
      <x:c r="H469" s="20" t="n">
        <x:f>E469-G469</x:f>
        <x:v>0</x:v>
      </x:c>
    </x:row>
    <x:row r="470">
      <x:c r="A470" t="str">
        <x:v>54178</x:v>
      </x:c>
      <x:c r="B470" s="17" t="n">
        <x:v>45566</x:v>
      </x:c>
      <x:c r="C470" t="str">
        <x:v>Академик</x:v>
      </x:c>
      <x:c r="D470" s="14" t="n">
        <x:v>0</x:v>
      </x:c>
      <x:c r="E470" s="20" t="n">
        <x:v>0</x:v>
      </x:c>
      <x:c r="F470" s="20" t="n">
        <x:v>0</x:v>
      </x:c>
      <x:c r="G470" s="20" t="n">
        <x:v>0</x:v>
      </x:c>
      <x:c r="H470" s="20" t="n">
        <x:f>E470-G470</x:f>
        <x:v>0</x:v>
      </x:c>
    </x:row>
    <x:row r="471">
      <x:c r="A471" t="str">
        <x:v>54178</x:v>
      </x:c>
      <x:c r="B471" s="17" t="n">
        <x:v>45597</x:v>
      </x:c>
      <x:c r="C471" t="str">
        <x:v>Академик</x:v>
      </x:c>
      <x:c r="D471" s="14" t="n">
        <x:v>0</x:v>
      </x:c>
      <x:c r="E471" s="20" t="n">
        <x:v>0</x:v>
      </x:c>
      <x:c r="F471" s="20" t="n">
        <x:v>0</x:v>
      </x:c>
      <x:c r="G471" s="20" t="n">
        <x:v>0</x:v>
      </x:c>
      <x:c r="H471" s="20" t="n">
        <x:f>E471-G471</x:f>
        <x:v>0</x:v>
      </x:c>
    </x:row>
    <x:row r="472">
      <x:c r="A472" t="str">
        <x:v>54179</x:v>
      </x:c>
      <x:c r="B472" s="17" t="n">
        <x:v>45231</x:v>
      </x:c>
      <x:c r="C472" t="str">
        <x:v>Академик</x:v>
      </x:c>
      <x:c r="D472" s="14" t="n">
        <x:v>0</x:v>
      </x:c>
      <x:c r="E472" s="20" t="n">
        <x:v>0</x:v>
      </x:c>
      <x:c r="F472" s="20" t="n">
        <x:v>0</x:v>
      </x:c>
      <x:c r="G472" s="20" t="n">
        <x:v>0</x:v>
      </x:c>
      <x:c r="H472" s="20" t="n">
        <x:f>E472-G472</x:f>
        <x:v>0</x:v>
      </x:c>
    </x:row>
    <x:row r="473">
      <x:c r="A473" t="str">
        <x:v>54179</x:v>
      </x:c>
      <x:c r="B473" s="17" t="n">
        <x:v>45261</x:v>
      </x:c>
      <x:c r="C473" t="str">
        <x:v>Академик</x:v>
      </x:c>
      <x:c r="D473" s="14" t="n">
        <x:v>378</x:v>
      </x:c>
      <x:c r="E473" s="20" t="n">
        <x:v>19945.6</x:v>
      </x:c>
      <x:c r="F473" s="20" t="n">
        <x:v>3311847206.4</x:v>
      </x:c>
      <x:c r="G473" s="20" t="n">
        <x:v>0</x:v>
      </x:c>
      <x:c r="H473" s="20" t="n">
        <x:f>E473-G473</x:f>
        <x:v>19945.6</x:v>
      </x:c>
    </x:row>
    <x:row r="474">
      <x:c r="A474" t="str">
        <x:v>54179</x:v>
      </x:c>
      <x:c r="B474" s="17" t="n">
        <x:v>45292</x:v>
      </x:c>
      <x:c r="C474" t="str">
        <x:v>Академик</x:v>
      </x:c>
      <x:c r="D474" s="14" t="n">
        <x:v>0</x:v>
      </x:c>
      <x:c r="E474" s="20" t="n">
        <x:v>0</x:v>
      </x:c>
      <x:c r="F474" s="20" t="n">
        <x:v>0</x:v>
      </x:c>
      <x:c r="G474" s="20" t="n">
        <x:v>0</x:v>
      </x:c>
      <x:c r="H474" s="20" t="n">
        <x:f>E474-G474</x:f>
        <x:v>0</x:v>
      </x:c>
    </x:row>
    <x:row r="475">
      <x:c r="A475" t="str">
        <x:v>54179</x:v>
      </x:c>
      <x:c r="B475" s="17" t="n">
        <x:v>45323</x:v>
      </x:c>
      <x:c r="C475" t="str">
        <x:v>Академик</x:v>
      </x:c>
      <x:c r="D475" s="14" t="n">
        <x:v>0</x:v>
      </x:c>
      <x:c r="E475" s="20" t="n">
        <x:v>0</x:v>
      </x:c>
      <x:c r="F475" s="20" t="n">
        <x:v>0</x:v>
      </x:c>
      <x:c r="G475" s="20" t="n">
        <x:v>0</x:v>
      </x:c>
      <x:c r="H475" s="20" t="n">
        <x:f>E475-G475</x:f>
        <x:v>0</x:v>
      </x:c>
    </x:row>
    <x:row r="476">
      <x:c r="A476" t="str">
        <x:v>54179</x:v>
      </x:c>
      <x:c r="B476" s="17" t="n">
        <x:v>45352</x:v>
      </x:c>
      <x:c r="C476" t="str">
        <x:v>Академик</x:v>
      </x:c>
      <x:c r="D476" s="14" t="n">
        <x:v>0</x:v>
      </x:c>
      <x:c r="E476" s="20" t="n">
        <x:v>0</x:v>
      </x:c>
      <x:c r="F476" s="20" t="n">
        <x:v>0</x:v>
      </x:c>
      <x:c r="G476" s="20" t="n">
        <x:v>0</x:v>
      </x:c>
      <x:c r="H476" s="20" t="n">
        <x:f>E476-G476</x:f>
        <x:v>0</x:v>
      </x:c>
    </x:row>
    <x:row r="477">
      <x:c r="A477" t="str">
        <x:v>54179</x:v>
      </x:c>
      <x:c r="B477" s="17" t="n">
        <x:v>45383</x:v>
      </x:c>
      <x:c r="C477" t="str">
        <x:v>Академик</x:v>
      </x:c>
      <x:c r="D477" s="14" t="n">
        <x:v>0</x:v>
      </x:c>
      <x:c r="E477" s="20" t="n">
        <x:v>0</x:v>
      </x:c>
      <x:c r="F477" s="20" t="n">
        <x:v>0</x:v>
      </x:c>
      <x:c r="G477" s="20" t="n">
        <x:v>0</x:v>
      </x:c>
      <x:c r="H477" s="20" t="n">
        <x:f>E477-G477</x:f>
        <x:v>0</x:v>
      </x:c>
    </x:row>
    <x:row r="478">
      <x:c r="A478" t="str">
        <x:v>54179</x:v>
      </x:c>
      <x:c r="B478" s="17" t="n">
        <x:v>45413</x:v>
      </x:c>
      <x:c r="C478" t="str">
        <x:v>Академик</x:v>
      </x:c>
      <x:c r="D478" s="14" t="n">
        <x:v>0</x:v>
      </x:c>
      <x:c r="E478" s="20" t="n">
        <x:v>0</x:v>
      </x:c>
      <x:c r="F478" s="20" t="n">
        <x:v>0</x:v>
      </x:c>
      <x:c r="G478" s="20" t="n">
        <x:v>0</x:v>
      </x:c>
      <x:c r="H478" s="20" t="n">
        <x:f>E478-G478</x:f>
        <x:v>0</x:v>
      </x:c>
    </x:row>
    <x:row r="479">
      <x:c r="A479" t="str">
        <x:v>54179</x:v>
      </x:c>
      <x:c r="B479" s="17" t="n">
        <x:v>45444</x:v>
      </x:c>
      <x:c r="C479" t="str">
        <x:v>Академик</x:v>
      </x:c>
      <x:c r="D479" s="14" t="n">
        <x:v>0</x:v>
      </x:c>
      <x:c r="E479" s="20" t="n">
        <x:v>0</x:v>
      </x:c>
      <x:c r="F479" s="20" t="n">
        <x:v>0</x:v>
      </x:c>
      <x:c r="G479" s="20" t="n">
        <x:v>0</x:v>
      </x:c>
      <x:c r="H479" s="20" t="n">
        <x:f>E479-G479</x:f>
        <x:v>0</x:v>
      </x:c>
    </x:row>
    <x:row r="480">
      <x:c r="A480" t="str">
        <x:v>54179</x:v>
      </x:c>
      <x:c r="B480" s="17" t="n">
        <x:v>45474</x:v>
      </x:c>
      <x:c r="C480" t="str">
        <x:v>Академик</x:v>
      </x:c>
      <x:c r="D480" s="14" t="n">
        <x:v>0</x:v>
      </x:c>
      <x:c r="E480" s="20" t="n">
        <x:v>0</x:v>
      </x:c>
      <x:c r="F480" s="20" t="n">
        <x:v>0</x:v>
      </x:c>
      <x:c r="G480" s="20" t="n">
        <x:v>0</x:v>
      </x:c>
      <x:c r="H480" s="20" t="n">
        <x:f>E480-G480</x:f>
        <x:v>0</x:v>
      </x:c>
    </x:row>
    <x:row r="481">
      <x:c r="A481" t="str">
        <x:v>54179</x:v>
      </x:c>
      <x:c r="B481" s="17" t="n">
        <x:v>45505</x:v>
      </x:c>
      <x:c r="C481" t="str">
        <x:v>Академик</x:v>
      </x:c>
      <x:c r="D481" s="14" t="n">
        <x:v>0</x:v>
      </x:c>
      <x:c r="E481" s="20" t="n">
        <x:v>0</x:v>
      </x:c>
      <x:c r="F481" s="20" t="n">
        <x:v>0</x:v>
      </x:c>
      <x:c r="G481" s="20" t="n">
        <x:v>0</x:v>
      </x:c>
      <x:c r="H481" s="20" t="n">
        <x:f>E481-G481</x:f>
        <x:v>0</x:v>
      </x:c>
    </x:row>
    <x:row r="482">
      <x:c r="A482" t="str">
        <x:v>54179</x:v>
      </x:c>
      <x:c r="B482" s="17" t="n">
        <x:v>45536</x:v>
      </x:c>
      <x:c r="C482" t="str">
        <x:v>Академик</x:v>
      </x:c>
      <x:c r="D482" s="14" t="n">
        <x:v>0</x:v>
      </x:c>
      <x:c r="E482" s="20" t="n">
        <x:v>0</x:v>
      </x:c>
      <x:c r="F482" s="20" t="n">
        <x:v>0</x:v>
      </x:c>
      <x:c r="G482" s="20" t="n">
        <x:v>0</x:v>
      </x:c>
      <x:c r="H482" s="20" t="n">
        <x:f>E482-G482</x:f>
        <x:v>0</x:v>
      </x:c>
    </x:row>
    <x:row r="483">
      <x:c r="A483" t="str">
        <x:v>54179</x:v>
      </x:c>
      <x:c r="B483" s="17" t="n">
        <x:v>45566</x:v>
      </x:c>
      <x:c r="C483" t="str">
        <x:v>Академик</x:v>
      </x:c>
      <x:c r="D483" s="14" t="n">
        <x:v>0</x:v>
      </x:c>
      <x:c r="E483" s="20" t="n">
        <x:v>0</x:v>
      </x:c>
      <x:c r="F483" s="20" t="n">
        <x:v>0</x:v>
      </x:c>
      <x:c r="G483" s="20" t="n">
        <x:v>0</x:v>
      </x:c>
      <x:c r="H483" s="20" t="n">
        <x:f>E483-G483</x:f>
        <x:v>0</x:v>
      </x:c>
    </x:row>
    <x:row r="484">
      <x:c r="A484" t="str">
        <x:v>54179</x:v>
      </x:c>
      <x:c r="B484" s="17" t="n">
        <x:v>45597</x:v>
      </x:c>
      <x:c r="C484" t="str">
        <x:v>Академик</x:v>
      </x:c>
      <x:c r="D484" s="14" t="n">
        <x:v>0</x:v>
      </x:c>
      <x:c r="E484" s="20" t="n">
        <x:v>0</x:v>
      </x:c>
      <x:c r="F484" s="20" t="n">
        <x:v>0</x:v>
      </x:c>
      <x:c r="G484" s="20" t="n">
        <x:v>0</x:v>
      </x:c>
      <x:c r="H484" s="20" t="n">
        <x:f>E484-G484</x:f>
        <x:v>0</x:v>
      </x:c>
    </x:row>
    <x:row r="485">
      <x:c r="A485" t="str">
        <x:v>54981</x:v>
      </x:c>
      <x:c r="B485" s="17" t="n">
        <x:v>45200</x:v>
      </x:c>
      <x:c r="C485" t="str">
        <x:v>Огни</x:v>
      </x:c>
      <x:c r="D485" s="14" t="n">
        <x:v>189</x:v>
      </x:c>
      <x:c r="E485" s="20" t="n">
        <x:v>8495</x:v>
      </x:c>
      <x:c r="F485" s="20" t="n">
        <x:v>2915056370</x:v>
      </x:c>
      <x:c r="G485" s="20" t="n">
        <x:v>0</x:v>
      </x:c>
      <x:c r="H485" s="20" t="n">
        <x:f>E485-G485</x:f>
        <x:v>8495</x:v>
      </x:c>
    </x:row>
    <x:row r="486">
      <x:c r="A486" t="str">
        <x:v>54981</x:v>
      </x:c>
      <x:c r="B486" s="17" t="n">
        <x:v>45231</x:v>
      </x:c>
      <x:c r="C486" t="str">
        <x:v>Огни</x:v>
      </x:c>
      <x:c r="D486" s="14" t="n">
        <x:v>82</x:v>
      </x:c>
      <x:c r="E486" s="20" t="n">
        <x:v>4168.3</x:v>
      </x:c>
      <x:c r="F486" s="20" t="n">
        <x:v>1438600462</x:v>
      </x:c>
      <x:c r="G486" s="20" t="n">
        <x:v>66</x:v>
      </x:c>
      <x:c r="H486" s="20" t="n">
        <x:f>E486-G486</x:f>
        <x:v>4102.3</x:v>
      </x:c>
    </x:row>
    <x:row r="487">
      <x:c r="A487" t="str">
        <x:v>54981</x:v>
      </x:c>
      <x:c r="B487" s="17" t="n">
        <x:v>45261</x:v>
      </x:c>
      <x:c r="C487" t="str">
        <x:v>Огни</x:v>
      </x:c>
      <x:c r="D487" s="14" t="n">
        <x:v>10</x:v>
      </x:c>
      <x:c r="E487" s="20" t="n">
        <x:v>604.6</x:v>
      </x:c>
      <x:c r="F487" s="20" t="n">
        <x:v>227161844</x:v>
      </x:c>
      <x:c r="G487" s="20" t="n">
        <x:v>0</x:v>
      </x:c>
      <x:c r="H487" s="20" t="n">
        <x:f>E487-G487</x:f>
        <x:v>604.6</x:v>
      </x:c>
    </x:row>
    <x:row r="488">
      <x:c r="A488" t="str">
        <x:v>54981</x:v>
      </x:c>
      <x:c r="B488" s="17" t="n">
        <x:v>45292</x:v>
      </x:c>
      <x:c r="C488" t="str">
        <x:v>Огни</x:v>
      </x:c>
      <x:c r="D488" s="14" t="n">
        <x:v>3</x:v>
      </x:c>
      <x:c r="E488" s="20" t="n">
        <x:v>234.9</x:v>
      </x:c>
      <x:c r="F488" s="20" t="n">
        <x:v>85021263</x:v>
      </x:c>
      <x:c r="G488" s="20" t="n">
        <x:v>0</x:v>
      </x:c>
      <x:c r="H488" s="20" t="n">
        <x:f>E488-G488</x:f>
        <x:v>234.9</x:v>
      </x:c>
    </x:row>
    <x:row r="489">
      <x:c r="A489" t="str">
        <x:v>54981</x:v>
      </x:c>
      <x:c r="B489" s="17" t="n">
        <x:v>45323</x:v>
      </x:c>
      <x:c r="C489" t="str">
        <x:v>Огни</x:v>
      </x:c>
      <x:c r="D489" s="14" t="n">
        <x:v>2</x:v>
      </x:c>
      <x:c r="E489" s="20" t="n">
        <x:v>139.8</x:v>
      </x:c>
      <x:c r="F489" s="20" t="n">
        <x:v>49939844</x:v>
      </x:c>
      <x:c r="G489" s="20" t="n">
        <x:v>0</x:v>
      </x:c>
      <x:c r="H489" s="20" t="n">
        <x:f>E489-G489</x:f>
        <x:v>139.8</x:v>
      </x:c>
    </x:row>
    <x:row r="490">
      <x:c r="A490" t="str">
        <x:v>54981</x:v>
      </x:c>
      <x:c r="B490" s="17" t="n">
        <x:v>45352</x:v>
      </x:c>
      <x:c r="C490" t="str">
        <x:v>Огни</x:v>
      </x:c>
      <x:c r="D490" s="14" t="n">
        <x:v>2</x:v>
      </x:c>
      <x:c r="E490" s="20" t="n">
        <x:v>155.6</x:v>
      </x:c>
      <x:c r="F490" s="20" t="n">
        <x:v>51967896</x:v>
      </x:c>
      <x:c r="G490" s="20" t="n">
        <x:v>0</x:v>
      </x:c>
      <x:c r="H490" s="20" t="n">
        <x:f>E490-G490</x:f>
        <x:v>155.6</x:v>
      </x:c>
    </x:row>
    <x:row r="491">
      <x:c r="A491" t="str">
        <x:v>54981</x:v>
      </x:c>
      <x:c r="B491" s="17" t="n">
        <x:v>45383</x:v>
      </x:c>
      <x:c r="C491" t="str">
        <x:v>Огни</x:v>
      </x:c>
      <x:c r="D491" s="14" t="n">
        <x:v>0</x:v>
      </x:c>
      <x:c r="E491" s="20" t="n">
        <x:v>0</x:v>
      </x:c>
      <x:c r="F491" s="20" t="n">
        <x:v>0</x:v>
      </x:c>
      <x:c r="G491" s="20" t="n">
        <x:v>0</x:v>
      </x:c>
      <x:c r="H491" s="20" t="n">
        <x:f>E491-G491</x:f>
        <x:v>0</x:v>
      </x:c>
    </x:row>
    <x:row r="492">
      <x:c r="A492" t="str">
        <x:v>54981</x:v>
      </x:c>
      <x:c r="B492" s="17" t="n">
        <x:v>45413</x:v>
      </x:c>
      <x:c r="C492" t="str">
        <x:v>Огни</x:v>
      </x:c>
      <x:c r="D492" s="14" t="n">
        <x:v>0</x:v>
      </x:c>
      <x:c r="E492" s="20" t="n">
        <x:v>0</x:v>
      </x:c>
      <x:c r="F492" s="20" t="n">
        <x:v>0</x:v>
      </x:c>
      <x:c r="G492" s="20" t="n">
        <x:v>0</x:v>
      </x:c>
      <x:c r="H492" s="20" t="n">
        <x:f>E492-G492</x:f>
        <x:v>0</x:v>
      </x:c>
    </x:row>
    <x:row r="493">
      <x:c r="A493" t="str">
        <x:v>54981</x:v>
      </x:c>
      <x:c r="B493" s="17" t="n">
        <x:v>45444</x:v>
      </x:c>
      <x:c r="C493" t="str">
        <x:v>Огни</x:v>
      </x:c>
      <x:c r="D493" s="14" t="n">
        <x:v>0</x:v>
      </x:c>
      <x:c r="E493" s="20" t="n">
        <x:v>0</x:v>
      </x:c>
      <x:c r="F493" s="20" t="n">
        <x:v>0</x:v>
      </x:c>
      <x:c r="G493" s="20" t="n">
        <x:v>0</x:v>
      </x:c>
      <x:c r="H493" s="20" t="n">
        <x:f>E493-G493</x:f>
        <x:v>0</x:v>
      </x:c>
    </x:row>
    <x:row r="494">
      <x:c r="A494" t="str">
        <x:v>54981</x:v>
      </x:c>
      <x:c r="B494" s="17" t="n">
        <x:v>45474</x:v>
      </x:c>
      <x:c r="C494" t="str">
        <x:v>Огни</x:v>
      </x:c>
      <x:c r="D494" s="14" t="n">
        <x:v>0</x:v>
      </x:c>
      <x:c r="E494" s="20" t="n">
        <x:v>0</x:v>
      </x:c>
      <x:c r="F494" s="20" t="n">
        <x:v>0</x:v>
      </x:c>
      <x:c r="G494" s="20" t="n">
        <x:v>0</x:v>
      </x:c>
      <x:c r="H494" s="20" t="n">
        <x:f>E494-G494</x:f>
        <x:v>0</x:v>
      </x:c>
    </x:row>
    <x:row r="495">
      <x:c r="A495" t="str">
        <x:v>54981</x:v>
      </x:c>
      <x:c r="B495" s="17" t="n">
        <x:v>45505</x:v>
      </x:c>
      <x:c r="C495" t="str">
        <x:v>Огни</x:v>
      </x:c>
      <x:c r="D495" s="14" t="n">
        <x:v>0</x:v>
      </x:c>
      <x:c r="E495" s="20" t="n">
        <x:v>0</x:v>
      </x:c>
      <x:c r="F495" s="20" t="n">
        <x:v>0</x:v>
      </x:c>
      <x:c r="G495" s="20" t="n">
        <x:v>0</x:v>
      </x:c>
      <x:c r="H495" s="20" t="n">
        <x:f>E495-G495</x:f>
        <x:v>0</x:v>
      </x:c>
    </x:row>
    <x:row r="496">
      <x:c r="A496" t="str">
        <x:v>54981</x:v>
      </x:c>
      <x:c r="B496" s="17" t="n">
        <x:v>45536</x:v>
      </x:c>
      <x:c r="C496" t="str">
        <x:v>Огни</x:v>
      </x:c>
      <x:c r="D496" s="14" t="n">
        <x:v>0</x:v>
      </x:c>
      <x:c r="E496" s="20" t="n">
        <x:v>0</x:v>
      </x:c>
      <x:c r="F496" s="20" t="n">
        <x:v>0</x:v>
      </x:c>
      <x:c r="G496" s="20" t="n">
        <x:v>0</x:v>
      </x:c>
      <x:c r="H496" s="20" t="n">
        <x:f>E496-G496</x:f>
        <x:v>0</x:v>
      </x:c>
    </x:row>
    <x:row r="497">
      <x:c r="A497" t="str">
        <x:v>54981</x:v>
      </x:c>
      <x:c r="B497" s="17" t="n">
        <x:v>45566</x:v>
      </x:c>
      <x:c r="C497" t="str">
        <x:v>Огни</x:v>
      </x:c>
      <x:c r="D497" s="14" t="n">
        <x:v>0</x:v>
      </x:c>
      <x:c r="E497" s="20" t="n">
        <x:v>0</x:v>
      </x:c>
      <x:c r="F497" s="20" t="n">
        <x:v>0</x:v>
      </x:c>
      <x:c r="G497" s="20" t="n">
        <x:v>0</x:v>
      </x:c>
      <x:c r="H497" s="20" t="n">
        <x:f>E497-G497</x:f>
        <x:v>0</x:v>
      </x:c>
    </x:row>
    <x:row r="498">
      <x:c r="A498" t="str">
        <x:v>54981</x:v>
      </x:c>
      <x:c r="B498" s="17" t="n">
        <x:v>45597</x:v>
      </x:c>
      <x:c r="C498" t="str">
        <x:v>Огни</x:v>
      </x:c>
      <x:c r="D498" s="14" t="n">
        <x:v>0</x:v>
      </x:c>
      <x:c r="E498" s="20" t="n">
        <x:v>0</x:v>
      </x:c>
      <x:c r="F498" s="20" t="n">
        <x:v>0</x:v>
      </x:c>
      <x:c r="G498" s="20" t="n">
        <x:v>0</x:v>
      </x:c>
      <x:c r="H498" s="20" t="n">
        <x:f>E498-G498</x:f>
        <x:v>0</x:v>
      </x:c>
    </x:row>
    <x:row r="499">
      <x:c r="A499" t="str">
        <x:v>54981</x:v>
      </x:c>
      <x:c r="B499" s="17" t="n">
        <x:v>45627</x:v>
      </x:c>
      <x:c r="C499" t="str">
        <x:v>Огни</x:v>
      </x:c>
      <x:c r="D499" s="14" t="n">
        <x:v>0</x:v>
      </x:c>
      <x:c r="E499" s="20" t="n">
        <x:v>0</x:v>
      </x:c>
      <x:c r="F499" s="20" t="n">
        <x:v>0</x:v>
      </x:c>
      <x:c r="G499" s="20" t="n">
        <x:v>0</x:v>
      </x:c>
      <x:c r="H499" s="20" t="n">
        <x:f>E499-G499</x:f>
        <x:v>0</x:v>
      </x:c>
    </x:row>
    <x:row r="500">
      <x:c r="A500" t="str">
        <x:v>54981</x:v>
      </x:c>
      <x:c r="B500" s="17" t="n">
        <x:v>45658</x:v>
      </x:c>
      <x:c r="C500" t="str">
        <x:v>Огни</x:v>
      </x:c>
      <x:c r="D500" s="14" t="n">
        <x:v>0</x:v>
      </x:c>
      <x:c r="E500" s="20" t="n">
        <x:v>0</x:v>
      </x:c>
      <x:c r="F500" s="20" t="n">
        <x:v>0</x:v>
      </x:c>
      <x:c r="G500" s="20" t="n">
        <x:v>0</x:v>
      </x:c>
      <x:c r="H500" s="20" t="n">
        <x:f>E500-G500</x:f>
        <x:v>0</x:v>
      </x:c>
    </x:row>
    <x:row r="501">
      <x:c r="A501" t="str">
        <x:v>54981</x:v>
      </x:c>
      <x:c r="B501" s="17" t="n">
        <x:v>45689</x:v>
      </x:c>
      <x:c r="C501" t="str">
        <x:v>Огни</x:v>
      </x:c>
      <x:c r="D501" s="14" t="n">
        <x:v>0</x:v>
      </x:c>
      <x:c r="E501" s="20" t="n">
        <x:v>0</x:v>
      </x:c>
      <x:c r="F501" s="20" t="n">
        <x:v>0</x:v>
      </x:c>
      <x:c r="G501" s="20" t="n">
        <x:v>0</x:v>
      </x:c>
      <x:c r="H501" s="20" t="n">
        <x:f>E501-G501</x:f>
        <x:v>0</x:v>
      </x:c>
    </x:row>
    <x:row r="502">
      <x:c r="A502" t="str">
        <x:v>54981</x:v>
      </x:c>
      <x:c r="B502" s="17" t="n">
        <x:v>45717</x:v>
      </x:c>
      <x:c r="C502" t="str">
        <x:v>Огни</x:v>
      </x:c>
      <x:c r="D502" s="14" t="n">
        <x:v>0</x:v>
      </x:c>
      <x:c r="E502" s="20" t="n">
        <x:v>0</x:v>
      </x:c>
      <x:c r="F502" s="20" t="n">
        <x:v>0</x:v>
      </x:c>
      <x:c r="G502" s="20" t="n">
        <x:v>0</x:v>
      </x:c>
      <x:c r="H502" s="20" t="n">
        <x:f>E502-G502</x:f>
        <x:v>0</x:v>
      </x:c>
    </x:row>
    <x:row r="503">
      <x:c r="A503" t="str">
        <x:v>54981</x:v>
      </x:c>
      <x:c r="B503" s="17" t="n">
        <x:v>45748</x:v>
      </x:c>
      <x:c r="C503" t="str">
        <x:v>Огни</x:v>
      </x:c>
      <x:c r="D503" s="14" t="n">
        <x:v>0</x:v>
      </x:c>
      <x:c r="E503" s="20" t="n">
        <x:v>0</x:v>
      </x:c>
      <x:c r="F503" s="20" t="n">
        <x:v>0</x:v>
      </x:c>
      <x:c r="G503" s="20" t="n">
        <x:v>0</x:v>
      </x:c>
      <x:c r="H503" s="20" t="n">
        <x:f>E503-G503</x:f>
        <x:v>0</x:v>
      </x:c>
    </x:row>
    <x:row r="504">
      <x:c r="A504" t="str">
        <x:v>54981</x:v>
      </x:c>
      <x:c r="B504" s="17" t="n">
        <x:v>45778</x:v>
      </x:c>
      <x:c r="C504" t="str">
        <x:v>Огни</x:v>
      </x:c>
      <x:c r="D504" s="14" t="n">
        <x:v>0</x:v>
      </x:c>
      <x:c r="E504" s="20" t="n">
        <x:v>0</x:v>
      </x:c>
      <x:c r="F504" s="20" t="n">
        <x:v>0</x:v>
      </x:c>
      <x:c r="G504" s="20" t="n">
        <x:v>0</x:v>
      </x:c>
      <x:c r="H504" s="20" t="n">
        <x:f>E504-G504</x:f>
        <x:v>0</x:v>
      </x:c>
    </x:row>
    <x:row r="505">
      <x:c r="A505" t="str">
        <x:v>54981</x:v>
      </x:c>
      <x:c r="B505" s="17" t="n">
        <x:v>45809</x:v>
      </x:c>
      <x:c r="C505" t="str">
        <x:v>Огни</x:v>
      </x:c>
      <x:c r="D505" s="14" t="n">
        <x:v>0</x:v>
      </x:c>
      <x:c r="E505" s="20" t="n">
        <x:v>0</x:v>
      </x:c>
      <x:c r="F505" s="20" t="n">
        <x:v>0</x:v>
      </x:c>
      <x:c r="G505" s="20" t="n">
        <x:v>0</x:v>
      </x:c>
      <x:c r="H505" s="20" t="n">
        <x:f>E505-G505</x:f>
        <x:v>0</x:v>
      </x:c>
    </x:row>
    <x:row r="506">
      <x:c r="A506" t="str">
        <x:v>54981</x:v>
      </x:c>
      <x:c r="B506" s="17" t="n">
        <x:v>45839</x:v>
      </x:c>
      <x:c r="C506" t="str">
        <x:v>Огни</x:v>
      </x:c>
      <x:c r="D506" s="14" t="n">
        <x:v>0</x:v>
      </x:c>
      <x:c r="E506" s="20" t="n">
        <x:v>0</x:v>
      </x:c>
      <x:c r="F506" s="20" t="n">
        <x:v>0</x:v>
      </x:c>
      <x:c r="G506" s="20" t="n">
        <x:v>0</x:v>
      </x:c>
      <x:c r="H506" s="20" t="n">
        <x:f>E506-G506</x:f>
        <x:v>0</x:v>
      </x:c>
    </x:row>
    <x:row r="507">
      <x:c r="A507" t="str">
        <x:v>54981</x:v>
      </x:c>
      <x:c r="B507" s="17" t="n">
        <x:v>45870</x:v>
      </x:c>
      <x:c r="C507" t="str">
        <x:v>Огни</x:v>
      </x:c>
      <x:c r="D507" s="14" t="n">
        <x:v>0</x:v>
      </x:c>
      <x:c r="E507" s="20" t="n">
        <x:v>0</x:v>
      </x:c>
      <x:c r="F507" s="20" t="n">
        <x:v>0</x:v>
      </x:c>
      <x:c r="G507" s="20" t="n">
        <x:v>0</x:v>
      </x:c>
      <x:c r="H507" s="20" t="n">
        <x:f>E507-G507</x:f>
        <x:v>0</x:v>
      </x:c>
    </x:row>
    <x:row r="508">
      <x:c r="A508" t="str">
        <x:v>54981</x:v>
      </x:c>
      <x:c r="B508" s="17" t="n">
        <x:v>45901</x:v>
      </x:c>
      <x:c r="C508" t="str">
        <x:v>Огни</x:v>
      </x:c>
      <x:c r="D508" s="14" t="n">
        <x:v>0</x:v>
      </x:c>
      <x:c r="E508" s="20" t="n">
        <x:v>0</x:v>
      </x:c>
      <x:c r="F508" s="20" t="n">
        <x:v>0</x:v>
      </x:c>
      <x:c r="G508" s="20" t="n">
        <x:v>0</x:v>
      </x:c>
      <x:c r="H508" s="20" t="n">
        <x:f>E508-G508</x:f>
        <x:v>0</x:v>
      </x:c>
    </x:row>
    <x:row r="509">
      <x:c r="A509" t="str">
        <x:v>54981</x:v>
      </x:c>
      <x:c r="B509" s="17" t="n">
        <x:v>45931</x:v>
      </x:c>
      <x:c r="C509" t="str">
        <x:v>Огни</x:v>
      </x:c>
      <x:c r="D509" s="14" t="n">
        <x:v>0</x:v>
      </x:c>
      <x:c r="E509" s="20" t="n">
        <x:v>0</x:v>
      </x:c>
      <x:c r="F509" s="20" t="n">
        <x:v>0</x:v>
      </x:c>
      <x:c r="G509" s="20" t="n">
        <x:v>0</x:v>
      </x:c>
      <x:c r="H509" s="20" t="n">
        <x:f>E509-G509</x:f>
        <x:v>0</x:v>
      </x:c>
    </x:row>
    <x:row r="510">
      <x:c r="A510" t="str">
        <x:v>54981</x:v>
      </x:c>
      <x:c r="B510" s="17" t="n">
        <x:v>45962</x:v>
      </x:c>
      <x:c r="C510" t="str">
        <x:v>Огни</x:v>
      </x:c>
      <x:c r="D510" s="14" t="n">
        <x:v>0</x:v>
      </x:c>
      <x:c r="E510" s="20" t="n">
        <x:v>0</x:v>
      </x:c>
      <x:c r="F510" s="20" t="n">
        <x:v>0</x:v>
      </x:c>
      <x:c r="G510" s="20" t="n">
        <x:v>0</x:v>
      </x:c>
      <x:c r="H510" s="20" t="n">
        <x:f>E510-G510</x:f>
        <x:v>0</x:v>
      </x:c>
    </x:row>
    <x:row r="511">
      <x:c r="A511" t="str">
        <x:v>54981</x:v>
      </x:c>
      <x:c r="B511" s="17" t="n">
        <x:v>45992</x:v>
      </x:c>
      <x:c r="C511" t="str">
        <x:v>Огни</x:v>
      </x:c>
      <x:c r="D511" s="14" t="n">
        <x:v>0</x:v>
      </x:c>
      <x:c r="E511" s="20" t="n">
        <x:v>0</x:v>
      </x:c>
      <x:c r="F511" s="20" t="n">
        <x:v>0</x:v>
      </x:c>
      <x:c r="G511" s="20" t="n">
        <x:v>0</x:v>
      </x:c>
      <x:c r="H511" s="20" t="n">
        <x:f>E511-G511</x:f>
        <x:v>0</x:v>
      </x:c>
    </x:row>
    <x:row r="512">
      <x:c r="A512" t="str">
        <x:v>54981</x:v>
      </x:c>
      <x:c r="B512" s="17" t="n">
        <x:v>46023</x:v>
      </x:c>
      <x:c r="C512" t="str">
        <x:v>Огни</x:v>
      </x:c>
      <x:c r="D512" s="14" t="n">
        <x:v>0</x:v>
      </x:c>
      <x:c r="E512" s="20" t="n">
        <x:v>0</x:v>
      </x:c>
      <x:c r="F512" s="20" t="n">
        <x:v>0</x:v>
      </x:c>
      <x:c r="G512" s="20" t="n">
        <x:v>0</x:v>
      </x:c>
      <x:c r="H512" s="20" t="n">
        <x:f>E512-G512</x:f>
        <x:v>0</x:v>
      </x:c>
    </x:row>
    <x:row r="513">
      <x:c r="A513" t="str">
        <x:v>54981</x:v>
      </x:c>
      <x:c r="B513" s="17" t="n">
        <x:v>46054</x:v>
      </x:c>
      <x:c r="C513" t="str">
        <x:v>Огни</x:v>
      </x:c>
      <x:c r="D513" s="14" t="n">
        <x:v>0</x:v>
      </x:c>
      <x:c r="E513" s="20" t="n">
        <x:v>0</x:v>
      </x:c>
      <x:c r="F513" s="20" t="n">
        <x:v>0</x:v>
      </x:c>
      <x:c r="G513" s="20" t="n">
        <x:v>0</x:v>
      </x:c>
      <x:c r="H513" s="20" t="n">
        <x:f>E513-G513</x:f>
        <x:v>0</x:v>
      </x:c>
    </x:row>
    <x:row r="514">
      <x:c r="A514" t="str">
        <x:v>54981</x:v>
      </x:c>
      <x:c r="B514" s="17" t="n">
        <x:v>46082</x:v>
      </x:c>
      <x:c r="C514" t="str">
        <x:v>Огни</x:v>
      </x:c>
      <x:c r="D514" s="14" t="n">
        <x:v>0</x:v>
      </x:c>
      <x:c r="E514" s="20" t="n">
        <x:v>0</x:v>
      </x:c>
      <x:c r="F514" s="20" t="n">
        <x:v>0</x:v>
      </x:c>
      <x:c r="G514" s="20" t="n">
        <x:v>0</x:v>
      </x:c>
      <x:c r="H514" s="20" t="n">
        <x:f>E514-G514</x:f>
        <x:v>0</x:v>
      </x:c>
    </x:row>
    <x:row r="515">
      <x:c r="A515" t="str">
        <x:v>54981</x:v>
      </x:c>
      <x:c r="B515" s="17" t="n">
        <x:v>46113</x:v>
      </x:c>
      <x:c r="C515" t="str">
        <x:v>Огни</x:v>
      </x:c>
      <x:c r="D515" s="14" t="n">
        <x:v>0</x:v>
      </x:c>
      <x:c r="E515" s="20" t="n">
        <x:v>0</x:v>
      </x:c>
      <x:c r="F515" s="20" t="n">
        <x:v>0</x:v>
      </x:c>
      <x:c r="G515" s="20" t="n">
        <x:v>0</x:v>
      </x:c>
      <x:c r="H515" s="20" t="n">
        <x:f>E515-G515</x:f>
        <x:v>0</x:v>
      </x:c>
    </x:row>
    <x:row r="516">
      <x:c r="A516" t="str">
        <x:v>54981</x:v>
      </x:c>
      <x:c r="B516" s="17" t="n">
        <x:v>46143</x:v>
      </x:c>
      <x:c r="C516" t="str">
        <x:v>Огни</x:v>
      </x:c>
      <x:c r="D516" s="14" t="n">
        <x:v>0</x:v>
      </x:c>
      <x:c r="E516" s="20" t="n">
        <x:v>0</x:v>
      </x:c>
      <x:c r="F516" s="20" t="n">
        <x:v>0</x:v>
      </x:c>
      <x:c r="G516" s="20" t="n">
        <x:v>0</x:v>
      </x:c>
      <x:c r="H516" s="20" t="n">
        <x:f>E516-G516</x:f>
        <x:v>0</x:v>
      </x:c>
    </x:row>
    <x:row r="517">
      <x:c r="A517" t="str">
        <x:v>54981</x:v>
      </x:c>
      <x:c r="B517" s="17" t="n">
        <x:v>46174</x:v>
      </x:c>
      <x:c r="C517" t="str">
        <x:v>Огни</x:v>
      </x:c>
      <x:c r="D517" s="14" t="n">
        <x:v>0</x:v>
      </x:c>
      <x:c r="E517" s="20" t="n">
        <x:v>0</x:v>
      </x:c>
      <x:c r="F517" s="20" t="n">
        <x:v>0</x:v>
      </x:c>
      <x:c r="G517" s="20" t="n">
        <x:v>0</x:v>
      </x:c>
      <x:c r="H517" s="20" t="n">
        <x:f>E517-G517</x:f>
        <x:v>0</x:v>
      </x:c>
    </x:row>
    <x:row r="518">
      <x:c r="A518" t="str">
        <x:v>54981</x:v>
      </x:c>
      <x:c r="B518" s="17" t="n">
        <x:v>46204</x:v>
      </x:c>
      <x:c r="C518" t="str">
        <x:v>Огни</x:v>
      </x:c>
      <x:c r="D518" s="14" t="n">
        <x:v>0</x:v>
      </x:c>
      <x:c r="E518" s="20" t="n">
        <x:v>0</x:v>
      </x:c>
      <x:c r="F518" s="20" t="n">
        <x:v>0</x:v>
      </x:c>
      <x:c r="G518" s="20" t="n">
        <x:v>0</x:v>
      </x:c>
      <x:c r="H518" s="20" t="n">
        <x:f>E518-G518</x:f>
        <x:v>0</x:v>
      </x:c>
    </x:row>
    <x:row r="519">
      <x:c r="A519" t="str">
        <x:v>54981</x:v>
      </x:c>
      <x:c r="B519" s="17" t="n">
        <x:v>46235</x:v>
      </x:c>
      <x:c r="C519" t="str">
        <x:v>Огни</x:v>
      </x:c>
      <x:c r="D519" s="14" t="n">
        <x:v>0</x:v>
      </x:c>
      <x:c r="E519" s="20" t="n">
        <x:v>0</x:v>
      </x:c>
      <x:c r="F519" s="20" t="n">
        <x:v>0</x:v>
      </x:c>
      <x:c r="G519" s="20" t="n">
        <x:v>0</x:v>
      </x:c>
      <x:c r="H519" s="20" t="n">
        <x:f>E519-G519</x:f>
        <x:v>0</x:v>
      </x:c>
    </x:row>
    <x:row r="520">
      <x:c r="A520" t="str">
        <x:v>57013</x:v>
      </x:c>
      <x:c r="B520" s="17" t="n">
        <x:v>45413</x:v>
      </x:c>
      <x:c r="C520" t="str">
        <x:v>Боровское ш. (Шеф-инженер)</x:v>
      </x:c>
      <x:c r="D520" s="14" t="n">
        <x:v>384</x:v>
      </x:c>
      <x:c r="E520" s="20" t="n">
        <x:v>23828.4</x:v>
      </x:c>
      <x:c r="F520" s="20" t="n">
        <x:v>3644750262.56</x:v>
      </x:c>
      <x:c r="G520" s="20" t="n">
        <x:v>0</x:v>
      </x:c>
      <x:c r="H520" s="20" t="n">
        <x:f>E520-G520</x:f>
        <x:v>23828.4</x:v>
      </x:c>
    </x:row>
    <x:row r="521">
      <x:c r="A521" t="str">
        <x:v>57013</x:v>
      </x:c>
      <x:c r="B521" s="17" t="n">
        <x:v>45444</x:v>
      </x:c>
      <x:c r="C521" t="str">
        <x:v>Боровское ш. (Шеф-инженер)</x:v>
      </x:c>
      <x:c r="D521" s="14" t="n">
        <x:v>0</x:v>
      </x:c>
      <x:c r="E521" s="20" t="n">
        <x:v>0</x:v>
      </x:c>
      <x:c r="F521" s="20" t="n">
        <x:v>0</x:v>
      </x:c>
      <x:c r="G521" s="20" t="n">
        <x:v>0</x:v>
      </x:c>
      <x:c r="H521" s="20" t="n">
        <x:f>E521-G521</x:f>
        <x:v>0</x:v>
      </x:c>
    </x:row>
    <x:row r="522">
      <x:c r="A522" t="str">
        <x:v>57013</x:v>
      </x:c>
      <x:c r="B522" s="17" t="n">
        <x:v>45474</x:v>
      </x:c>
      <x:c r="C522" t="str">
        <x:v>Боровское ш. (Шеф-инженер)</x:v>
      </x:c>
      <x:c r="D522" s="14" t="n">
        <x:v>0</x:v>
      </x:c>
      <x:c r="E522" s="20" t="n">
        <x:v>0</x:v>
      </x:c>
      <x:c r="F522" s="20" t="n">
        <x:v>0</x:v>
      </x:c>
      <x:c r="G522" s="20" t="n">
        <x:v>0</x:v>
      </x:c>
      <x:c r="H522" s="20" t="n">
        <x:f>E522-G522</x:f>
        <x:v>0</x:v>
      </x:c>
    </x:row>
    <x:row r="523">
      <x:c r="A523" t="str">
        <x:v>57013</x:v>
      </x:c>
      <x:c r="B523" s="17" t="n">
        <x:v>45505</x:v>
      </x:c>
      <x:c r="C523" t="str">
        <x:v>Боровское ш. (Шеф-инженер)</x:v>
      </x:c>
      <x:c r="D523" s="14" t="n">
        <x:v>0</x:v>
      </x:c>
      <x:c r="E523" s="20" t="n">
        <x:v>0</x:v>
      </x:c>
      <x:c r="F523" s="20" t="n">
        <x:v>0</x:v>
      </x:c>
      <x:c r="G523" s="20" t="n">
        <x:v>0</x:v>
      </x:c>
      <x:c r="H523" s="20" t="n">
        <x:f>E523-G523</x:f>
        <x:v>0</x:v>
      </x:c>
    </x:row>
    <x:row r="524">
      <x:c r="A524" t="str">
        <x:v>57013</x:v>
      </x:c>
      <x:c r="B524" s="17" t="n">
        <x:v>45536</x:v>
      </x:c>
      <x:c r="C524" t="str">
        <x:v>Боровское ш. (Шеф-инженер)</x:v>
      </x:c>
      <x:c r="D524" s="14" t="n">
        <x:v>0</x:v>
      </x:c>
      <x:c r="E524" s="20" t="n">
        <x:v>0</x:v>
      </x:c>
      <x:c r="F524" s="20" t="n">
        <x:v>0</x:v>
      </x:c>
      <x:c r="G524" s="20" t="n">
        <x:v>0</x:v>
      </x:c>
      <x:c r="H524" s="20" t="n">
        <x:f>E524-G524</x:f>
        <x:v>0</x:v>
      </x:c>
    </x:row>
    <x:row r="525">
      <x:c r="A525" t="str">
        <x:v>57013</x:v>
      </x:c>
      <x:c r="B525" s="17" t="n">
        <x:v>45566</x:v>
      </x:c>
      <x:c r="C525" t="str">
        <x:v>Боровское ш. (Шеф-инженер)</x:v>
      </x:c>
      <x:c r="D525" s="14" t="n">
        <x:v>0</x:v>
      </x:c>
      <x:c r="E525" s="20" t="n">
        <x:v>0</x:v>
      </x:c>
      <x:c r="F525" s="20" t="n">
        <x:v>0</x:v>
      </x:c>
      <x:c r="G525" s="20" t="n">
        <x:v>0</x:v>
      </x:c>
      <x:c r="H525" s="20" t="n">
        <x:f>E525-G525</x:f>
        <x:v>0</x:v>
      </x:c>
    </x:row>
    <x:row r="526">
      <x:c r="A526" t="str">
        <x:v>57013</x:v>
      </x:c>
      <x:c r="B526" s="17" t="n">
        <x:v>45597</x:v>
      </x:c>
      <x:c r="C526" t="str">
        <x:v>Боровское ш. (Шеф-инженер)</x:v>
      </x:c>
      <x:c r="D526" s="14" t="n">
        <x:v>0</x:v>
      </x:c>
      <x:c r="E526" s="20" t="n">
        <x:v>0</x:v>
      </x:c>
      <x:c r="F526" s="20" t="n">
        <x:v>0</x:v>
      </x:c>
      <x:c r="G526" s="20" t="n">
        <x:v>0</x:v>
      </x:c>
      <x:c r="H526" s="20" t="n">
        <x:f>E526-G526</x:f>
        <x:v>0</x:v>
      </x:c>
    </x:row>
    <x:row r="527">
      <x:c r="A527" t="str">
        <x:v>57013</x:v>
      </x:c>
      <x:c r="B527" s="17" t="n">
        <x:v>45627</x:v>
      </x:c>
      <x:c r="C527" t="str">
        <x:v>Боровское ш. (Шеф-инженер)</x:v>
      </x:c>
      <x:c r="D527" s="14" t="n">
        <x:v>0</x:v>
      </x:c>
      <x:c r="E527" s="20" t="n">
        <x:v>0</x:v>
      </x:c>
      <x:c r="F527" s="20" t="n">
        <x:v>270928908</x:v>
      </x:c>
      <x:c r="G527" s="20" t="n">
        <x:v>0</x:v>
      </x:c>
      <x:c r="H527" s="20" t="n">
        <x:f>E527-G527</x:f>
        <x:v>0</x:v>
      </x:c>
    </x:row>
    <x:row r="528">
      <x:c r="A528" t="str">
        <x:v>57013</x:v>
      </x:c>
      <x:c r="B528" s="17" t="n">
        <x:v>45658</x:v>
      </x:c>
      <x:c r="C528" t="str">
        <x:v>Боровское ш. (Шеф-инженер)</x:v>
      </x:c>
      <x:c r="D528" s="14" t="n">
        <x:v>0</x:v>
      </x:c>
      <x:c r="E528" s="20" t="n">
        <x:v>0</x:v>
      </x:c>
      <x:c r="F528" s="20" t="n">
        <x:v>0</x:v>
      </x:c>
      <x:c r="G528" s="20" t="n">
        <x:v>0</x:v>
      </x:c>
      <x:c r="H528" s="20" t="n">
        <x:f>E528-G528</x:f>
        <x:v>0</x:v>
      </x:c>
    </x:row>
    <x:row r="529">
      <x:c r="A529" t="str">
        <x:v>57013</x:v>
      </x:c>
      <x:c r="B529" s="17" t="n">
        <x:v>45689</x:v>
      </x:c>
      <x:c r="C529" t="str">
        <x:v>Боровское ш. (Шеф-инженер)</x:v>
      </x:c>
      <x:c r="D529" s="14" t="n">
        <x:v>0</x:v>
      </x:c>
      <x:c r="E529" s="20" t="n">
        <x:v>0</x:v>
      </x:c>
      <x:c r="F529" s="20" t="n">
        <x:v>0</x:v>
      </x:c>
      <x:c r="G529" s="20" t="n">
        <x:v>0</x:v>
      </x:c>
      <x:c r="H529" s="20" t="n">
        <x:f>E529-G529</x:f>
        <x:v>0</x:v>
      </x:c>
    </x:row>
    <x:row r="530">
      <x:c r="A530" t="str">
        <x:v>57013</x:v>
      </x:c>
      <x:c r="B530" s="17" t="n">
        <x:v>45717</x:v>
      </x:c>
      <x:c r="C530" t="str">
        <x:v>Боровское ш. (Шеф-инженер)</x:v>
      </x:c>
      <x:c r="D530" s="14" t="n">
        <x:v>0</x:v>
      </x:c>
      <x:c r="E530" s="20" t="n">
        <x:v>0</x:v>
      </x:c>
      <x:c r="F530" s="20" t="n">
        <x:v>0</x:v>
      </x:c>
      <x:c r="G530" s="20" t="n">
        <x:v>0</x:v>
      </x:c>
      <x:c r="H530" s="20" t="n">
        <x:f>E530-G530</x:f>
        <x:v>0</x:v>
      </x:c>
    </x:row>
    <x:row r="531">
      <x:c r="A531" t="str">
        <x:v>57013</x:v>
      </x:c>
      <x:c r="B531" s="17" t="n">
        <x:v>45748</x:v>
      </x:c>
      <x:c r="C531" t="str">
        <x:v>Боровское ш. (Шеф-инженер)</x:v>
      </x:c>
      <x:c r="D531" s="14" t="n">
        <x:v>0</x:v>
      </x:c>
      <x:c r="E531" s="20" t="n">
        <x:v>0</x:v>
      </x:c>
      <x:c r="F531" s="20" t="n">
        <x:v>0</x:v>
      </x:c>
      <x:c r="G531" s="20" t="n">
        <x:v>0</x:v>
      </x:c>
      <x:c r="H531" s="20" t="n">
        <x:f>E531-G531</x:f>
        <x:v>0</x:v>
      </x:c>
    </x:row>
    <x:row r="532">
      <x:c r="A532" t="str">
        <x:v>57013</x:v>
      </x:c>
      <x:c r="B532" s="17" t="n">
        <x:v>45778</x:v>
      </x:c>
      <x:c r="C532" t="str">
        <x:v>Боровское ш. (Шеф-инженер)</x:v>
      </x:c>
      <x:c r="D532" s="14" t="n">
        <x:v>0</x:v>
      </x:c>
      <x:c r="E532" s="20" t="n">
        <x:v>0</x:v>
      </x:c>
      <x:c r="F532" s="20" t="n">
        <x:v>0</x:v>
      </x:c>
      <x:c r="G532" s="20" t="n">
        <x:v>0</x:v>
      </x:c>
      <x:c r="H532" s="20" t="n">
        <x:f>E532-G532</x:f>
        <x:v>0</x:v>
      </x:c>
    </x:row>
    <x:row r="533">
      <x:c r="A533" t="str">
        <x:v>57013</x:v>
      </x:c>
      <x:c r="B533" s="17" t="n">
        <x:v>45809</x:v>
      </x:c>
      <x:c r="C533" t="str">
        <x:v>Боровское ш. (Шеф-инженер)</x:v>
      </x:c>
      <x:c r="D533" s="14" t="n">
        <x:v>0</x:v>
      </x:c>
      <x:c r="E533" s="20" t="n">
        <x:v>0</x:v>
      </x:c>
      <x:c r="F533" s="20" t="n">
        <x:v>247338792</x:v>
      </x:c>
      <x:c r="G533" s="20" t="n">
        <x:v>0</x:v>
      </x:c>
      <x:c r="H533" s="20" t="n">
        <x:f>E533-G533</x:f>
        <x:v>0</x:v>
      </x:c>
    </x:row>
    <x:row r="534">
      <x:c r="A534" t="str">
        <x:v>57013</x:v>
      </x:c>
      <x:c r="B534" s="17" t="n">
        <x:v>45839</x:v>
      </x:c>
      <x:c r="C534" t="str">
        <x:v>Боровское ш. (Шеф-инженер)</x:v>
      </x:c>
      <x:c r="D534" s="14" t="n">
        <x:v>0</x:v>
      </x:c>
      <x:c r="E534" s="20" t="n">
        <x:v>0</x:v>
      </x:c>
      <x:c r="F534" s="20" t="n">
        <x:v>0</x:v>
      </x:c>
      <x:c r="G534" s="20" t="n">
        <x:v>0</x:v>
      </x:c>
      <x:c r="H534" s="20" t="n">
        <x:f>E534-G534</x:f>
        <x:v>0</x:v>
      </x:c>
    </x:row>
    <x:row r="535">
      <x:c r="A535" t="str">
        <x:v>57013</x:v>
      </x:c>
      <x:c r="B535" s="17" t="n">
        <x:v>45870</x:v>
      </x:c>
      <x:c r="C535" t="str">
        <x:v>Боровское ш. (Шеф-инженер)</x:v>
      </x:c>
      <x:c r="D535" s="14" t="n">
        <x:v>0</x:v>
      </x:c>
      <x:c r="E535" s="20" t="n">
        <x:v>0</x:v>
      </x:c>
      <x:c r="F535" s="20" t="n">
        <x:v>0</x:v>
      </x:c>
      <x:c r="G535" s="20" t="n">
        <x:v>0</x:v>
      </x:c>
      <x:c r="H535" s="20" t="n">
        <x:f>E535-G535</x:f>
        <x:v>0</x:v>
      </x:c>
    </x:row>
    <x:row r="536">
      <x:c r="A536" t="str">
        <x:v>57013</x:v>
      </x:c>
      <x:c r="B536" s="17" t="n">
        <x:v>45901</x:v>
      </x:c>
      <x:c r="C536" t="str">
        <x:v>Боровское ш. (Шеф-инженер)</x:v>
      </x:c>
      <x:c r="D536" s="14" t="n">
        <x:v>0</x:v>
      </x:c>
      <x:c r="E536" s="20" t="n">
        <x:v>0</x:v>
      </x:c>
      <x:c r="F536" s="20" t="n">
        <x:v>0</x:v>
      </x:c>
      <x:c r="G536" s="20" t="n">
        <x:v>0</x:v>
      </x:c>
      <x:c r="H536" s="20" t="n">
        <x:f>E536-G536</x:f>
        <x:v>0</x:v>
      </x:c>
    </x:row>
    <x:row r="537">
      <x:c r="A537" t="str">
        <x:v>58054</x:v>
      </x:c>
      <x:c r="B537" s="17" t="n">
        <x:v>45444</x:v>
      </x:c>
      <x:c r="C537" t="str">
        <x:v>Строительный проезд 9</x:v>
      </x:c>
      <x:c r="D537" s="14" t="n">
        <x:v>1074</x:v>
      </x:c>
      <x:c r="E537" s="20" t="n">
        <x:v>54276.3</x:v>
      </x:c>
      <x:c r="F537" s="20" t="n">
        <x:v>9537968012.63</x:v>
      </x:c>
      <x:c r="G537" s="20" t="n">
        <x:v>0</x:v>
      </x:c>
      <x:c r="H537" s="20" t="n">
        <x:f>E537-G537</x:f>
        <x:v>54276.3</x:v>
      </x:c>
    </x:row>
    <x:row r="538">
      <x:c r="A538" t="str">
        <x:v>58054</x:v>
      </x:c>
      <x:c r="B538" s="17" t="n">
        <x:v>45474</x:v>
      </x:c>
      <x:c r="C538" t="str">
        <x:v>Строительный проезд 9</x:v>
      </x:c>
      <x:c r="D538" s="14" t="n">
        <x:v>0</x:v>
      </x:c>
      <x:c r="E538" s="20" t="n">
        <x:v>0</x:v>
      </x:c>
      <x:c r="F538" s="20" t="n">
        <x:v>0</x:v>
      </x:c>
      <x:c r="G538" s="20" t="n">
        <x:v>0</x:v>
      </x:c>
      <x:c r="H538" s="20" t="n">
        <x:f>E538-G538</x:f>
        <x:v>0</x:v>
      </x:c>
    </x:row>
    <x:row r="539">
      <x:c r="A539" t="str">
        <x:v>58054</x:v>
      </x:c>
      <x:c r="B539" s="17" t="n">
        <x:v>45505</x:v>
      </x:c>
      <x:c r="C539" t="str">
        <x:v>Строительный проезд 9</x:v>
      </x:c>
      <x:c r="D539" s="14" t="n">
        <x:v>0</x:v>
      </x:c>
      <x:c r="E539" s="20" t="n">
        <x:v>0</x:v>
      </x:c>
      <x:c r="F539" s="20" t="n">
        <x:v>0</x:v>
      </x:c>
      <x:c r="G539" s="20" t="n">
        <x:v>0</x:v>
      </x:c>
      <x:c r="H539" s="20" t="n">
        <x:f>E539-G539</x:f>
        <x:v>0</x:v>
      </x:c>
    </x:row>
    <x:row r="540">
      <x:c r="A540" t="str">
        <x:v>58054</x:v>
      </x:c>
      <x:c r="B540" s="17" t="n">
        <x:v>45536</x:v>
      </x:c>
      <x:c r="C540" t="str">
        <x:v>Строительный проезд 9</x:v>
      </x:c>
      <x:c r="D540" s="14" t="n">
        <x:v>0</x:v>
      </x:c>
      <x:c r="E540" s="20" t="n">
        <x:v>0</x:v>
      </x:c>
      <x:c r="F540" s="20" t="n">
        <x:v>0</x:v>
      </x:c>
      <x:c r="G540" s="20" t="n">
        <x:v>0</x:v>
      </x:c>
      <x:c r="H540" s="20" t="n">
        <x:f>E540-G540</x:f>
        <x:v>0</x:v>
      </x:c>
    </x:row>
    <x:row r="541">
      <x:c r="A541" t="str">
        <x:v>58054</x:v>
      </x:c>
      <x:c r="B541" s="17" t="n">
        <x:v>45566</x:v>
      </x:c>
      <x:c r="C541" t="str">
        <x:v>Строительный проезд 9</x:v>
      </x:c>
      <x:c r="D541" s="14" t="n">
        <x:v>0</x:v>
      </x:c>
      <x:c r="E541" s="20" t="n">
        <x:v>0</x:v>
      </x:c>
      <x:c r="F541" s="20" t="n">
        <x:v>0</x:v>
      </x:c>
      <x:c r="G541" s="20" t="n">
        <x:v>0</x:v>
      </x:c>
      <x:c r="H541" s="20" t="n">
        <x:f>E541-G541</x:f>
        <x:v>0</x:v>
      </x:c>
    </x:row>
    <x:row r="542">
      <x:c r="A542" t="str">
        <x:v>58054</x:v>
      </x:c>
      <x:c r="B542" s="17" t="n">
        <x:v>45597</x:v>
      </x:c>
      <x:c r="C542" t="str">
        <x:v>Строительный проезд 9</x:v>
      </x:c>
      <x:c r="D542" s="14" t="n">
        <x:v>0</x:v>
      </x:c>
      <x:c r="E542" s="20" t="n">
        <x:v>0</x:v>
      </x:c>
      <x:c r="F542" s="20" t="n">
        <x:v>0</x:v>
      </x:c>
      <x:c r="G542" s="20" t="n">
        <x:v>0</x:v>
      </x:c>
      <x:c r="H542" s="20" t="n">
        <x:f>E542-G542</x:f>
        <x:v>0</x:v>
      </x:c>
    </x:row>
    <x:row r="543">
      <x:c r="A543" t="str">
        <x:v>58054</x:v>
      </x:c>
      <x:c r="B543" s="17" t="n">
        <x:v>45627</x:v>
      </x:c>
      <x:c r="C543" t="str">
        <x:v>Строительный проезд 9</x:v>
      </x:c>
      <x:c r="D543" s="14" t="n">
        <x:v>0</x:v>
      </x:c>
      <x:c r="E543" s="20" t="n">
        <x:v>0</x:v>
      </x:c>
      <x:c r="F543" s="20" t="n">
        <x:v>0</x:v>
      </x:c>
      <x:c r="G543" s="20" t="n">
        <x:v>0</x:v>
      </x:c>
      <x:c r="H543" s="20" t="n">
        <x:f>E543-G543</x:f>
        <x:v>0</x:v>
      </x:c>
    </x:row>
    <x:row r="544">
      <x:c r="A544" t="str">
        <x:v>58054</x:v>
      </x:c>
      <x:c r="B544" s="17" t="n">
        <x:v>45658</x:v>
      </x:c>
      <x:c r="C544" t="str">
        <x:v>Строительный проезд 9</x:v>
      </x:c>
      <x:c r="D544" s="14" t="n">
        <x:v>0</x:v>
      </x:c>
      <x:c r="E544" s="20" t="n">
        <x:v>0</x:v>
      </x:c>
      <x:c r="F544" s="20" t="n">
        <x:v>500427486</x:v>
      </x:c>
      <x:c r="G544" s="20" t="n">
        <x:v>0</x:v>
      </x:c>
      <x:c r="H544" s="20" t="n">
        <x:f>E544-G544</x:f>
        <x:v>0</x:v>
      </x:c>
    </x:row>
    <x:row r="545">
      <x:c r="A545" t="str">
        <x:v>58054</x:v>
      </x:c>
      <x:c r="B545" s="17" t="n">
        <x:v>45689</x:v>
      </x:c>
      <x:c r="C545" t="str">
        <x:v>Строительный проезд 9</x:v>
      </x:c>
      <x:c r="D545" s="14" t="n">
        <x:v>0</x:v>
      </x:c>
      <x:c r="E545" s="20" t="n">
        <x:v>0</x:v>
      </x:c>
      <x:c r="F545" s="20" t="n">
        <x:v>0</x:v>
      </x:c>
      <x:c r="G545" s="20" t="n">
        <x:v>0</x:v>
      </x:c>
      <x:c r="H545" s="20" t="n">
        <x:f>E545-G545</x:f>
        <x:v>0</x:v>
      </x:c>
    </x:row>
    <x:row r="546">
      <x:c r="A546" t="str">
        <x:v>58054</x:v>
      </x:c>
      <x:c r="B546" s="17" t="n">
        <x:v>45717</x:v>
      </x:c>
      <x:c r="C546" t="str">
        <x:v>Строительный проезд 9</x:v>
      </x:c>
      <x:c r="D546" s="14" t="n">
        <x:v>0</x:v>
      </x:c>
      <x:c r="E546" s="20" t="n">
        <x:v>0</x:v>
      </x:c>
      <x:c r="F546" s="20" t="n">
        <x:v>0</x:v>
      </x:c>
      <x:c r="G546" s="20" t="n">
        <x:v>0</x:v>
      </x:c>
      <x:c r="H546" s="20" t="n">
        <x:f>E546-G546</x:f>
        <x:v>0</x:v>
      </x:c>
    </x:row>
    <x:row r="547">
      <x:c r="A547" t="str">
        <x:v>58054</x:v>
      </x:c>
      <x:c r="B547" s="17" t="n">
        <x:v>45748</x:v>
      </x:c>
      <x:c r="C547" t="str">
        <x:v>Строительный проезд 9</x:v>
      </x:c>
      <x:c r="D547" s="14" t="n">
        <x:v>0</x:v>
      </x:c>
      <x:c r="E547" s="20" t="n">
        <x:v>0</x:v>
      </x:c>
      <x:c r="F547" s="20" t="n">
        <x:v>0</x:v>
      </x:c>
      <x:c r="G547" s="20" t="n">
        <x:v>0</x:v>
      </x:c>
      <x:c r="H547" s="20" t="n">
        <x:f>E547-G547</x:f>
        <x:v>0</x:v>
      </x:c>
    </x:row>
    <x:row r="548">
      <x:c r="A548" t="str">
        <x:v>58054</x:v>
      </x:c>
      <x:c r="B548" s="17" t="n">
        <x:v>45778</x:v>
      </x:c>
      <x:c r="C548" t="str">
        <x:v>Строительный проезд 9</x:v>
      </x:c>
      <x:c r="D548" s="14" t="n">
        <x:v>0</x:v>
      </x:c>
      <x:c r="E548" s="20" t="n">
        <x:v>0</x:v>
      </x:c>
      <x:c r="F548" s="20" t="n">
        <x:v>0</x:v>
      </x:c>
      <x:c r="G548" s="20" t="n">
        <x:v>0</x:v>
      </x:c>
      <x:c r="H548" s="20" t="n">
        <x:f>E548-G548</x:f>
        <x:v>0</x:v>
      </x:c>
    </x:row>
    <x:row r="549">
      <x:c r="A549" t="str">
        <x:v>58054</x:v>
      </x:c>
      <x:c r="B549" s="17" t="n">
        <x:v>45809</x:v>
      </x:c>
      <x:c r="C549" t="str">
        <x:v>Строительный проезд 9</x:v>
      </x:c>
      <x:c r="D549" s="14" t="n">
        <x:v>0</x:v>
      </x:c>
      <x:c r="E549" s="20" t="n">
        <x:v>0</x:v>
      </x:c>
      <x:c r="F549" s="20" t="n">
        <x:v>0</x:v>
      </x:c>
      <x:c r="G549" s="20" t="n">
        <x:v>0</x:v>
      </x:c>
      <x:c r="H549" s="20" t="n">
        <x:f>E549-G549</x:f>
        <x:v>0</x:v>
      </x:c>
    </x:row>
    <x:row r="550">
      <x:c r="A550" t="str">
        <x:v>58054</x:v>
      </x:c>
      <x:c r="B550" s="17" t="n">
        <x:v>45839</x:v>
      </x:c>
      <x:c r="C550" t="str">
        <x:v>Строительный проезд 9</x:v>
      </x:c>
      <x:c r="D550" s="14" t="n">
        <x:v>0</x:v>
      </x:c>
      <x:c r="E550" s="20" t="n">
        <x:v>0</x:v>
      </x:c>
      <x:c r="F550" s="20" t="n">
        <x:v>0</x:v>
      </x:c>
      <x:c r="G550" s="20" t="n">
        <x:v>0</x:v>
      </x:c>
      <x:c r="H550" s="20" t="n">
        <x:f>E550-G550</x:f>
        <x:v>0</x:v>
      </x:c>
    </x:row>
    <x:row r="551">
      <x:c r="A551" t="str">
        <x:v>58054</x:v>
      </x:c>
      <x:c r="B551" s="17" t="n">
        <x:v>45870</x:v>
      </x:c>
      <x:c r="C551" t="str">
        <x:v>Строительный проезд 9</x:v>
      </x:c>
      <x:c r="D551" s="14" t="n">
        <x:v>0</x:v>
      </x:c>
      <x:c r="E551" s="20" t="n">
        <x:v>0</x:v>
      </x:c>
      <x:c r="F551" s="20" t="n">
        <x:v>0</x:v>
      </x:c>
      <x:c r="G551" s="20" t="n">
        <x:v>0</x:v>
      </x:c>
      <x:c r="H551" s="20" t="n">
        <x:f>E551-G551</x:f>
        <x:v>0</x:v>
      </x:c>
    </x:row>
    <x:row r="552">
      <x:c r="A552" t="str">
        <x:v>58054</x:v>
      </x:c>
      <x:c r="B552" s="17" t="n">
        <x:v>45901</x:v>
      </x:c>
      <x:c r="C552" t="str">
        <x:v>Строительный проезд 9</x:v>
      </x:c>
      <x:c r="D552" s="14" t="n">
        <x:v>0</x:v>
      </x:c>
      <x:c r="E552" s="20" t="n">
        <x:v>0</x:v>
      </x:c>
      <x:c r="F552" s="20" t="n">
        <x:v>572465391.75</x:v>
      </x:c>
      <x:c r="G552" s="20" t="n">
        <x:v>0</x:v>
      </x:c>
      <x:c r="H552" s="20" t="n">
        <x:f>E552-G552</x:f>
        <x:v>0</x:v>
      </x:c>
    </x:row>
    <x:row r="553">
      <x:c r="A553" t="str">
        <x:v>58054</x:v>
      </x:c>
      <x:c r="B553" s="17" t="n">
        <x:v>45931</x:v>
      </x:c>
      <x:c r="C553" t="str">
        <x:v>Строительный проезд 9</x:v>
      </x:c>
      <x:c r="D553" s="14" t="n">
        <x:v>0</x:v>
      </x:c>
      <x:c r="E553" s="20" t="n">
        <x:v>0</x:v>
      </x:c>
      <x:c r="F553" s="20" t="n">
        <x:v>0</x:v>
      </x:c>
      <x:c r="G553" s="20" t="n">
        <x:v>0</x:v>
      </x:c>
      <x:c r="H553" s="20" t="n">
        <x:f>E553-G553</x:f>
        <x:v>0</x:v>
      </x:c>
    </x:row>
    <x:row r="554">
      <x:c r="A554" t="str">
        <x:v>58064</x:v>
      </x:c>
      <x:c r="B554" s="17" t="n">
        <x:v>45352</x:v>
      </x:c>
      <x:c r="C554" t="str">
        <x:v>Скандинавия</x:v>
      </x:c>
      <x:c r="D554" s="14" t="n">
        <x:v>5</x:v>
      </x:c>
      <x:c r="E554" s="20" t="n">
        <x:v>148.9</x:v>
      </x:c>
      <x:c r="F554" s="20" t="n">
        <x:v>37037386.12</x:v>
      </x:c>
      <x:c r="G554" s="20" t="n">
        <x:v>0</x:v>
      </x:c>
      <x:c r="H554" s="20" t="n">
        <x:f>E554-G554</x:f>
        <x:v>148.9</x:v>
      </x:c>
    </x:row>
    <x:row r="555">
      <x:c r="A555" t="str">
        <x:v>58064</x:v>
      </x:c>
      <x:c r="B555" s="17" t="n">
        <x:v>45383</x:v>
      </x:c>
      <x:c r="C555" t="str">
        <x:v>Скандинавия</x:v>
      </x:c>
      <x:c r="D555" s="14" t="n">
        <x:v>43</x:v>
      </x:c>
      <x:c r="E555" s="20" t="n">
        <x:v>2321.6</x:v>
      </x:c>
      <x:c r="F555" s="20" t="n">
        <x:v>498978406.26</x:v>
      </x:c>
      <x:c r="G555" s="20" t="n">
        <x:v>0</x:v>
      </x:c>
      <x:c r="H555" s="20" t="n">
        <x:f>E555-G555</x:f>
        <x:v>2321.6</x:v>
      </x:c>
    </x:row>
    <x:row r="556">
      <x:c r="A556" t="str">
        <x:v>58064</x:v>
      </x:c>
      <x:c r="B556" s="17" t="n">
        <x:v>45413</x:v>
      </x:c>
      <x:c r="C556" t="str">
        <x:v>Скандинавия</x:v>
      </x:c>
      <x:c r="D556" s="14" t="n">
        <x:v>33</x:v>
      </x:c>
      <x:c r="E556" s="20" t="n">
        <x:v>1792.2</x:v>
      </x:c>
      <x:c r="F556" s="20" t="n">
        <x:v>390119736.79</x:v>
      </x:c>
      <x:c r="G556" s="20" t="n">
        <x:v>0</x:v>
      </x:c>
      <x:c r="H556" s="20" t="n">
        <x:f>E556-G556</x:f>
        <x:v>1792.2</x:v>
      </x:c>
    </x:row>
    <x:row r="557">
      <x:c r="A557" t="str">
        <x:v>58064</x:v>
      </x:c>
      <x:c r="B557" s="17" t="n">
        <x:v>45444</x:v>
      </x:c>
      <x:c r="C557" t="str">
        <x:v>Скандинавия</x:v>
      </x:c>
      <x:c r="D557" s="14" t="n">
        <x:v>24</x:v>
      </x:c>
      <x:c r="E557" s="20" t="n">
        <x:v>1234.2</x:v>
      </x:c>
      <x:c r="F557" s="20" t="n">
        <x:v>285156282.61</x:v>
      </x:c>
      <x:c r="G557" s="20" t="n">
        <x:v>0</x:v>
      </x:c>
      <x:c r="H557" s="20" t="n">
        <x:f>E557-G557</x:f>
        <x:v>1234.2</x:v>
      </x:c>
    </x:row>
    <x:row r="558">
      <x:c r="A558" t="str">
        <x:v>58064</x:v>
      </x:c>
      <x:c r="B558" s="17" t="n">
        <x:v>45474</x:v>
      </x:c>
      <x:c r="C558" t="str">
        <x:v>Скандинавия</x:v>
      </x:c>
      <x:c r="D558" s="14" t="n">
        <x:v>16</x:v>
      </x:c>
      <x:c r="E558" s="20" t="n">
        <x:v>961.4</x:v>
      </x:c>
      <x:c r="F558" s="20" t="n">
        <x:v>219222968.11</x:v>
      </x:c>
      <x:c r="G558" s="20" t="n">
        <x:v>0</x:v>
      </x:c>
      <x:c r="H558" s="20" t="n">
        <x:f>E558-G558</x:f>
        <x:v>961.4</x:v>
      </x:c>
    </x:row>
    <x:row r="559">
      <x:c r="A559" t="str">
        <x:v>58064</x:v>
      </x:c>
      <x:c r="B559" s="17" t="n">
        <x:v>45505</x:v>
      </x:c>
      <x:c r="C559" t="str">
        <x:v>Скандинавия</x:v>
      </x:c>
      <x:c r="D559" s="14" t="n">
        <x:v>17</x:v>
      </x:c>
      <x:c r="E559" s="20" t="n">
        <x:v>806.6</x:v>
      </x:c>
      <x:c r="F559" s="20" t="n">
        <x:v>197992678.27</x:v>
      </x:c>
      <x:c r="G559" s="20" t="n">
        <x:v>0</x:v>
      </x:c>
      <x:c r="H559" s="20" t="n">
        <x:f>E559-G559</x:f>
        <x:v>806.6</x:v>
      </x:c>
    </x:row>
    <x:row r="560">
      <x:c r="A560" t="str">
        <x:v>58064</x:v>
      </x:c>
      <x:c r="B560" s="17" t="n">
        <x:v>45536</x:v>
      </x:c>
      <x:c r="C560" t="str">
        <x:v>Скандинавия</x:v>
      </x:c>
      <x:c r="D560" s="14" t="n">
        <x:v>27</x:v>
      </x:c>
      <x:c r="E560" s="20" t="n">
        <x:v>1278.6</x:v>
      </x:c>
      <x:c r="F560" s="20" t="n">
        <x:v>304785455.37</x:v>
      </x:c>
      <x:c r="G560" s="20" t="n">
        <x:v>0</x:v>
      </x:c>
      <x:c r="H560" s="20" t="n">
        <x:f>E560-G560</x:f>
        <x:v>1278.6</x:v>
      </x:c>
    </x:row>
    <x:row r="561">
      <x:c r="A561" t="str">
        <x:v>58064</x:v>
      </x:c>
      <x:c r="B561" s="17" t="n">
        <x:v>45566</x:v>
      </x:c>
      <x:c r="C561" t="str">
        <x:v>Скандинавия</x:v>
      </x:c>
      <x:c r="D561" s="14" t="n">
        <x:v>31</x:v>
      </x:c>
      <x:c r="E561" s="20" t="n">
        <x:v>1436.4</x:v>
      </x:c>
      <x:c r="F561" s="20" t="n">
        <x:v>352672707.87</x:v>
      </x:c>
      <x:c r="G561" s="20" t="n">
        <x:v>0</x:v>
      </x:c>
      <x:c r="H561" s="20" t="n">
        <x:f>E561-G561</x:f>
        <x:v>1436.4</x:v>
      </x:c>
    </x:row>
    <x:row r="562">
      <x:c r="A562" t="str">
        <x:v>58064</x:v>
      </x:c>
      <x:c r="B562" s="17" t="n">
        <x:v>45597</x:v>
      </x:c>
      <x:c r="C562" t="str">
        <x:v>Скандинавия</x:v>
      </x:c>
      <x:c r="D562" s="14" t="n">
        <x:v>23</x:v>
      </x:c>
      <x:c r="E562" s="20" t="n">
        <x:v>999.3</x:v>
      </x:c>
      <x:c r="F562" s="20" t="n">
        <x:v>256938252.77</x:v>
      </x:c>
      <x:c r="G562" s="20" t="n">
        <x:v>0</x:v>
      </x:c>
      <x:c r="H562" s="20" t="n">
        <x:f>E562-G562</x:f>
        <x:v>999.3</x:v>
      </x:c>
    </x:row>
    <x:row r="563">
      <x:c r="A563" t="str">
        <x:v>58064</x:v>
      </x:c>
      <x:c r="B563" s="17" t="n">
        <x:v>45627</x:v>
      </x:c>
      <x:c r="C563" t="str">
        <x:v>Скандинавия</x:v>
      </x:c>
      <x:c r="D563" s="14" t="n">
        <x:v>35</x:v>
      </x:c>
      <x:c r="E563" s="20" t="n">
        <x:v>1437.4</x:v>
      </x:c>
      <x:c r="F563" s="20" t="n">
        <x:v>375373231.7</x:v>
      </x:c>
      <x:c r="G563" s="20" t="n">
        <x:v>0</x:v>
      </x:c>
      <x:c r="H563" s="20" t="n">
        <x:f>E563-G563</x:f>
        <x:v>1437.4</x:v>
      </x:c>
    </x:row>
    <x:row r="564">
      <x:c r="A564" t="str">
        <x:v>58064</x:v>
      </x:c>
      <x:c r="B564" s="17" t="n">
        <x:v>45658</x:v>
      </x:c>
      <x:c r="C564" t="str">
        <x:v>Скандинавия</x:v>
      </x:c>
      <x:c r="D564" s="14" t="n">
        <x:v>15</x:v>
      </x:c>
      <x:c r="E564" s="20" t="n">
        <x:v>469.1</x:v>
      </x:c>
      <x:c r="F564" s="20" t="n">
        <x:v>133026877.91</x:v>
      </x:c>
      <x:c r="G564" s="20" t="n">
        <x:v>20.9</x:v>
      </x:c>
      <x:c r="H564" s="20" t="n">
        <x:f>E564-G564</x:f>
        <x:v>448.20000000000005</x:v>
      </x:c>
    </x:row>
    <x:row r="565">
      <x:c r="A565" t="str">
        <x:v>58064</x:v>
      </x:c>
      <x:c r="B565" s="17" t="n">
        <x:v>45689</x:v>
      </x:c>
      <x:c r="C565" t="str">
        <x:v>Скандинавия</x:v>
      </x:c>
      <x:c r="D565" s="14" t="n">
        <x:v>21</x:v>
      </x:c>
      <x:c r="E565" s="20" t="n">
        <x:v>1234.2</x:v>
      </x:c>
      <x:c r="F565" s="20" t="n">
        <x:v>286962504.85</x:v>
      </x:c>
      <x:c r="G565" s="20" t="n">
        <x:v>0</x:v>
      </x:c>
      <x:c r="H565" s="20" t="n">
        <x:f>E565-G565</x:f>
        <x:v>1234.2</x:v>
      </x:c>
    </x:row>
    <x:row r="566">
      <x:c r="A566" t="str">
        <x:v>58064</x:v>
      </x:c>
      <x:c r="B566" s="17" t="n">
        <x:v>45717</x:v>
      </x:c>
      <x:c r="C566" t="str">
        <x:v>Скандинавия</x:v>
      </x:c>
      <x:c r="D566" s="14" t="n">
        <x:v>650</x:v>
      </x:c>
      <x:c r="E566" s="20" t="n">
        <x:v>30137.1</x:v>
      </x:c>
      <x:c r="F566" s="20" t="n">
        <x:v>7776587235.39</x:v>
      </x:c>
      <x:c r="G566" s="20" t="n">
        <x:v>45.4</x:v>
      </x:c>
      <x:c r="H566" s="20" t="n">
        <x:f>E566-G566</x:f>
        <x:v>30091.699999999997</x:v>
      </x:c>
    </x:row>
    <x:row r="567">
      <x:c r="A567" t="str">
        <x:v>58064</x:v>
      </x:c>
      <x:c r="B567" s="17" t="n">
        <x:v>45748</x:v>
      </x:c>
      <x:c r="C567" t="str">
        <x:v>Скандинавия</x:v>
      </x:c>
      <x:c r="D567" s="14" t="n">
        <x:v>44</x:v>
      </x:c>
      <x:c r="E567" s="20" t="n">
        <x:v>2550.3</x:v>
      </x:c>
      <x:c r="F567" s="20" t="n">
        <x:v>657770863.41</x:v>
      </x:c>
      <x:c r="G567" s="20" t="n">
        <x:v>50.2</x:v>
      </x:c>
      <x:c r="H567" s="20" t="n">
        <x:f>E567-G567</x:f>
        <x:v>2500.1000000000004</x:v>
      </x:c>
    </x:row>
    <x:row r="568">
      <x:c r="A568" t="str">
        <x:v>58064</x:v>
      </x:c>
      <x:c r="B568" s="17" t="n">
        <x:v>45778</x:v>
      </x:c>
      <x:c r="C568" t="str">
        <x:v>Скандинавия</x:v>
      </x:c>
      <x:c r="D568" s="14" t="n">
        <x:v>24</x:v>
      </x:c>
      <x:c r="E568" s="20" t="n">
        <x:v>1152.1</x:v>
      </x:c>
      <x:c r="F568" s="20" t="n">
        <x:v>312125118.2</x:v>
      </x:c>
      <x:c r="G568" s="20" t="n">
        <x:v>20.7</x:v>
      </x:c>
      <x:c r="H568" s="20" t="n">
        <x:f>E568-G568</x:f>
        <x:v>1131.3999999999999</x:v>
      </x:c>
    </x:row>
    <x:row r="569">
      <x:c r="A569" t="str">
        <x:v>58064</x:v>
      </x:c>
      <x:c r="B569" s="17" t="n">
        <x:v>45809</x:v>
      </x:c>
      <x:c r="C569" t="str">
        <x:v>Скандинавия</x:v>
      </x:c>
      <x:c r="D569" s="14" t="n">
        <x:v>22</x:v>
      </x:c>
      <x:c r="E569" s="20" t="n">
        <x:v>1217.8</x:v>
      </x:c>
      <x:c r="F569" s="20" t="n">
        <x:v>322565559</x:v>
      </x:c>
      <x:c r="G569" s="20" t="n">
        <x:v>0</x:v>
      </x:c>
      <x:c r="H569" s="20" t="n">
        <x:f>E569-G569</x:f>
        <x:v>1217.8</x:v>
      </x:c>
    </x:row>
    <x:row r="570">
      <x:c r="A570" t="str">
        <x:v>58064</x:v>
      </x:c>
      <x:c r="B570" s="17" t="n">
        <x:v>45839</x:v>
      </x:c>
      <x:c r="C570" t="str">
        <x:v>Скандинавия</x:v>
      </x:c>
      <x:c r="D570" s="14" t="n">
        <x:v>21</x:v>
      </x:c>
      <x:c r="E570" s="20" t="n">
        <x:v>1009.4</x:v>
      </x:c>
      <x:c r="F570" s="20" t="n">
        <x:v>277648189.91</x:v>
      </x:c>
      <x:c r="G570" s="20" t="n">
        <x:v>0</x:v>
      </x:c>
      <x:c r="H570" s="20" t="n">
        <x:f>E570-G570</x:f>
        <x:v>1009.4</x:v>
      </x:c>
    </x:row>
    <x:row r="571">
      <x:c r="A571" t="str">
        <x:v>58064</x:v>
      </x:c>
      <x:c r="B571" s="17" t="n">
        <x:v>45870</x:v>
      </x:c>
      <x:c r="C571" t="str">
        <x:v>Скандинавия</x:v>
      </x:c>
      <x:c r="D571" s="14" t="n">
        <x:v>15</x:v>
      </x:c>
      <x:c r="E571" s="20" t="n">
        <x:v>750.4</x:v>
      </x:c>
      <x:c r="F571" s="20" t="n">
        <x:v>209701274</x:v>
      </x:c>
      <x:c r="G571" s="20" t="n">
        <x:v>0</x:v>
      </x:c>
      <x:c r="H571" s="20" t="n">
        <x:f>E571-G571</x:f>
        <x:v>750.4</x:v>
      </x:c>
    </x:row>
    <x:row r="572">
      <x:c r="A572" t="str">
        <x:v>58064</x:v>
      </x:c>
      <x:c r="B572" s="17" t="n">
        <x:v>45901</x:v>
      </x:c>
      <x:c r="C572" t="str">
        <x:v>Скандинавия</x:v>
      </x:c>
      <x:c r="D572" s="14" t="n">
        <x:v>21</x:v>
      </x:c>
      <x:c r="E572" s="20" t="n">
        <x:v>929</x:v>
      </x:c>
      <x:c r="F572" s="20" t="n">
        <x:v>294525277</x:v>
      </x:c>
      <x:c r="G572" s="20" t="n">
        <x:v>115</x:v>
      </x:c>
      <x:c r="H572" s="20" t="n">
        <x:f>E572-G572</x:f>
        <x:v>814</x:v>
      </x:c>
    </x:row>
    <x:row r="573">
      <x:c r="A573" t="str">
        <x:v>58064</x:v>
      </x:c>
      <x:c r="B573" s="17" t="n">
        <x:v>45931</x:v>
      </x:c>
      <x:c r="C573" t="str">
        <x:v>Скандинавия</x:v>
      </x:c>
      <x:c r="D573" s="14" t="n">
        <x:v>26</x:v>
      </x:c>
      <x:c r="E573" s="20" t="n">
        <x:v>1171.5</x:v>
      </x:c>
      <x:c r="F573" s="20" t="n">
        <x:v>360119162</x:v>
      </x:c>
      <x:c r="G573" s="20" t="n">
        <x:v>107.9</x:v>
      </x:c>
      <x:c r="H573" s="20" t="n">
        <x:f>E573-G573</x:f>
        <x:v>1063.6</x:v>
      </x:c>
    </x:row>
    <x:row r="574">
      <x:c r="A574" t="str">
        <x:v>58064</x:v>
      </x:c>
      <x:c r="B574" s="17" t="n">
        <x:v>45962</x:v>
      </x:c>
      <x:c r="C574" t="str">
        <x:v>Скандинавия</x:v>
      </x:c>
      <x:c r="D574" s="14" t="n">
        <x:v>32</x:v>
      </x:c>
      <x:c r="E574" s="20" t="n">
        <x:v>1317.3</x:v>
      </x:c>
      <x:c r="F574" s="20" t="n">
        <x:v>423566286</x:v>
      </x:c>
      <x:c r="G574" s="20" t="n">
        <x:v>0</x:v>
      </x:c>
      <x:c r="H574" s="20" t="n">
        <x:f>E574-G574</x:f>
        <x:v>1317.3</x:v>
      </x:c>
    </x:row>
    <x:row r="575">
      <x:c r="A575" t="str">
        <x:v>58064</x:v>
      </x:c>
      <x:c r="B575" s="17" t="n">
        <x:v>45992</x:v>
      </x:c>
      <x:c r="C575" t="str">
        <x:v>Скандинавия</x:v>
      </x:c>
      <x:c r="D575" s="14" t="n">
        <x:v>35</x:v>
      </x:c>
      <x:c r="E575" s="20" t="n">
        <x:v>1397.5</x:v>
      </x:c>
      <x:c r="F575" s="20" t="n">
        <x:v>488226657</x:v>
      </x:c>
      <x:c r="G575" s="20" t="n">
        <x:v>66.2</x:v>
      </x:c>
      <x:c r="H575" s="20" t="n">
        <x:f>E575-G575</x:f>
        <x:v>1331.3</x:v>
      </x:c>
    </x:row>
    <x:row r="576">
      <x:c r="A576" t="str">
        <x:v>58064</x:v>
      </x:c>
      <x:c r="B576" s="17" t="n">
        <x:v>46023</x:v>
      </x:c>
      <x:c r="C576" t="str">
        <x:v>Скандинавия</x:v>
      </x:c>
      <x:c r="D576" s="14" t="n">
        <x:v>15</x:v>
      </x:c>
      <x:c r="E576" s="20" t="n">
        <x:v>597.8</x:v>
      </x:c>
      <x:c r="F576" s="20" t="n">
        <x:v>209174085</x:v>
      </x:c>
      <x:c r="G576" s="20" t="n">
        <x:v>138.6</x:v>
      </x:c>
      <x:c r="H576" s="20" t="n">
        <x:f>E576-G576</x:f>
        <x:v>459.19999999999993</x:v>
      </x:c>
    </x:row>
    <x:row r="577">
      <x:c r="A577" t="str">
        <x:v>58064</x:v>
      </x:c>
      <x:c r="B577" s="17" t="n">
        <x:v>46054</x:v>
      </x:c>
      <x:c r="C577" t="str">
        <x:v>Скандинавия</x:v>
      </x:c>
      <x:c r="D577" s="14" t="n">
        <x:v>10</x:v>
      </x:c>
      <x:c r="E577" s="20" t="n">
        <x:v>237.8</x:v>
      </x:c>
      <x:c r="F577" s="20" t="n">
        <x:v>103754274</x:v>
      </x:c>
      <x:c r="G577" s="20" t="n">
        <x:v>62.5</x:v>
      </x:c>
      <x:c r="H577" s="20" t="n">
        <x:f>E577-G577</x:f>
        <x:v>175.3</x:v>
      </x:c>
    </x:row>
    <x:row r="578">
      <x:c r="A578" t="str">
        <x:v>58064</x:v>
      </x:c>
      <x:c r="B578" s="17" t="n">
        <x:v>46082</x:v>
      </x:c>
      <x:c r="C578" t="str">
        <x:v>Скандинавия</x:v>
      </x:c>
      <x:c r="D578" s="14" t="n">
        <x:v>5</x:v>
      </x:c>
      <x:c r="E578" s="20" t="n">
        <x:v>144.2</x:v>
      </x:c>
      <x:c r="F578" s="20" t="n">
        <x:v>60917371</x:v>
      </x:c>
      <x:c r="G578" s="20" t="n">
        <x:v>69.4</x:v>
      </x:c>
      <x:c r="H578" s="20" t="n">
        <x:f>E578-G578</x:f>
        <x:v>74.79999999999998</x:v>
      </x:c>
    </x:row>
    <x:row r="579">
      <x:c r="A579" t="str">
        <x:v>58064</x:v>
      </x:c>
      <x:c r="B579" s="17" t="n">
        <x:v>46113</x:v>
      </x:c>
      <x:c r="C579" t="str">
        <x:v>Скандинавия</x:v>
      </x:c>
      <x:c r="D579" s="14" t="n">
        <x:v>6</x:v>
      </x:c>
      <x:c r="E579" s="20" t="n">
        <x:v>231.6</x:v>
      </x:c>
      <x:c r="F579" s="20" t="n">
        <x:v>86526433</x:v>
      </x:c>
      <x:c r="G579" s="20" t="n">
        <x:v>107.9</x:v>
      </x:c>
      <x:c r="H579" s="20" t="n">
        <x:f>E579-G579</x:f>
        <x:v>123.69999999999999</x:v>
      </x:c>
    </x:row>
    <x:row r="580">
      <x:c r="A580" t="str">
        <x:v>58064</x:v>
      </x:c>
      <x:c r="B580" s="17" t="n">
        <x:v>46143</x:v>
      </x:c>
      <x:c r="C580" t="str">
        <x:v>Скандинавия</x:v>
      </x:c>
      <x:c r="D580" s="14" t="n">
        <x:v>12</x:v>
      </x:c>
      <x:c r="E580" s="20" t="n">
        <x:v>495.2</x:v>
      </x:c>
      <x:c r="F580" s="20" t="n">
        <x:v>189277297</x:v>
      </x:c>
      <x:c r="G580" s="20" t="n">
        <x:v>178.4</x:v>
      </x:c>
      <x:c r="H580" s="20" t="n">
        <x:f>E580-G580</x:f>
        <x:v>316.79999999999995</x:v>
      </x:c>
    </x:row>
    <x:row r="581">
      <x:c r="A581" t="str">
        <x:v>58064</x:v>
      </x:c>
      <x:c r="B581" s="17" t="n">
        <x:v>46174</x:v>
      </x:c>
      <x:c r="C581" t="str">
        <x:v>Скандинавия</x:v>
      </x:c>
      <x:c r="D581" s="14" t="n">
        <x:v>10</x:v>
      </x:c>
      <x:c r="E581" s="20" t="n">
        <x:v>498.6</x:v>
      </x:c>
      <x:c r="F581" s="20" t="n">
        <x:v>169331512</x:v>
      </x:c>
      <x:c r="G581" s="20" t="n">
        <x:v>114.5</x:v>
      </x:c>
      <x:c r="H581" s="20" t="n">
        <x:f>E581-G581</x:f>
        <x:v>384.1</x:v>
      </x:c>
    </x:row>
    <x:row r="582">
      <x:c r="A582" t="str">
        <x:v>58064</x:v>
      </x:c>
      <x:c r="B582" s="17" t="n">
        <x:v>46204</x:v>
      </x:c>
      <x:c r="C582" t="str">
        <x:v>Скандинавия</x:v>
      </x:c>
      <x:c r="D582" s="14" t="n">
        <x:v>12</x:v>
      </x:c>
      <x:c r="E582" s="20" t="n">
        <x:v>556.5</x:v>
      </x:c>
      <x:c r="F582" s="20" t="n">
        <x:v>205148218</x:v>
      </x:c>
      <x:c r="G582" s="20" t="n">
        <x:v>0</x:v>
      </x:c>
      <x:c r="H582" s="20" t="n">
        <x:f>E582-G582</x:f>
        <x:v>556.5</x:v>
      </x:c>
    </x:row>
    <x:row r="583">
      <x:c r="A583" t="str">
        <x:v>58064</x:v>
      </x:c>
      <x:c r="B583" s="17" t="n">
        <x:v>46235</x:v>
      </x:c>
      <x:c r="C583" t="str">
        <x:v>Скандинавия</x:v>
      </x:c>
      <x:c r="D583" s="14" t="n">
        <x:v>7</x:v>
      </x:c>
      <x:c r="E583" s="20" t="n">
        <x:v>250.6</x:v>
      </x:c>
      <x:c r="F583" s="20" t="n">
        <x:v>103219892</x:v>
      </x:c>
      <x:c r="G583" s="20" t="n">
        <x:v>91.3</x:v>
      </x:c>
      <x:c r="H583" s="20" t="n">
        <x:f>E583-G583</x:f>
        <x:v>159.3</x:v>
      </x:c>
    </x:row>
    <x:row r="584">
      <x:c r="A584" t="str">
        <x:v>58064</x:v>
      </x:c>
      <x:c r="B584" s="17" t="n">
        <x:v>46266</x:v>
      </x:c>
      <x:c r="C584" t="str">
        <x:v>Скандинавия</x:v>
      </x:c>
      <x:c r="D584" s="14" t="n">
        <x:v>15</x:v>
      </x:c>
      <x:c r="E584" s="20" t="n">
        <x:v>886.4</x:v>
      </x:c>
      <x:c r="F584" s="20" t="n">
        <x:v>312376587</x:v>
      </x:c>
      <x:c r="G584" s="20" t="n">
        <x:v>38.6</x:v>
      </x:c>
      <x:c r="H584" s="20" t="n">
        <x:f>E584-G584</x:f>
        <x:v>847.8</x:v>
      </x:c>
    </x:row>
    <x:row r="585">
      <x:c r="A585" t="str">
        <x:v>59864</x:v>
      </x:c>
      <x:c r="B585" s="17" t="n">
        <x:v>45566</x:v>
      </x:c>
      <x:c r="C585" t="str">
        <x:v>Щербаковская 5А</x:v>
      </x:c>
      <x:c r="D585" s="14" t="n">
        <x:v>252</x:v>
      </x:c>
      <x:c r="E585" s="20" t="n">
        <x:v>14889</x:v>
      </x:c>
      <x:c r="F585" s="20" t="n">
        <x:v>2411292943</x:v>
      </x:c>
      <x:c r="G585" s="20" t="n">
        <x:v>0</x:v>
      </x:c>
      <x:c r="H585" s="20" t="n">
        <x:f>E585-G585</x:f>
        <x:v>14889</x:v>
      </x:c>
    </x:row>
    <x:row r="586">
      <x:c r="A586" t="str">
        <x:v>59864</x:v>
      </x:c>
      <x:c r="B586" s="17" t="n">
        <x:v>45597</x:v>
      </x:c>
      <x:c r="C586" t="str">
        <x:v>Щербаковская 5А</x:v>
      </x:c>
      <x:c r="D586" s="14" t="n">
        <x:v>0</x:v>
      </x:c>
      <x:c r="E586" s="20" t="n">
        <x:v>0</x:v>
      </x:c>
      <x:c r="F586" s="20" t="n">
        <x:v>0</x:v>
      </x:c>
      <x:c r="G586" s="20" t="n">
        <x:v>0</x:v>
      </x:c>
      <x:c r="H586" s="20" t="n">
        <x:f>E586-G586</x:f>
        <x:v>0</x:v>
      </x:c>
    </x:row>
    <x:row r="587">
      <x:c r="A587" t="str">
        <x:v>59864</x:v>
      </x:c>
      <x:c r="B587" s="17" t="n">
        <x:v>45627</x:v>
      </x:c>
      <x:c r="C587" t="str">
        <x:v>Щербаковская 5А</x:v>
      </x:c>
      <x:c r="D587" s="14" t="n">
        <x:v>0</x:v>
      </x:c>
      <x:c r="E587" s="20" t="n">
        <x:v>0</x:v>
      </x:c>
      <x:c r="F587" s="20" t="n">
        <x:v>0</x:v>
      </x:c>
      <x:c r="G587" s="20" t="n">
        <x:v>0</x:v>
      </x:c>
      <x:c r="H587" s="20" t="n">
        <x:f>E587-G587</x:f>
        <x:v>0</x:v>
      </x:c>
    </x:row>
    <x:row r="588">
      <x:c r="A588" t="str">
        <x:v>59864</x:v>
      </x:c>
      <x:c r="B588" s="17" t="n">
        <x:v>45658</x:v>
      </x:c>
      <x:c r="C588" t="str">
        <x:v>Щербаковская 5А</x:v>
      </x:c>
      <x:c r="D588" s="14" t="n">
        <x:v>0</x:v>
      </x:c>
      <x:c r="E588" s="20" t="n">
        <x:v>0</x:v>
      </x:c>
      <x:c r="F588" s="20" t="n">
        <x:v>0</x:v>
      </x:c>
      <x:c r="G588" s="20" t="n">
        <x:v>0</x:v>
      </x:c>
      <x:c r="H588" s="20" t="n">
        <x:f>E588-G588</x:f>
        <x:v>0</x:v>
      </x:c>
    </x:row>
    <x:row r="589">
      <x:c r="A589" t="str">
        <x:v>59864</x:v>
      </x:c>
      <x:c r="B589" s="17" t="n">
        <x:v>45689</x:v>
      </x:c>
      <x:c r="C589" t="str">
        <x:v>Щербаковская 5А</x:v>
      </x:c>
      <x:c r="D589" s="14" t="n">
        <x:v>0</x:v>
      </x:c>
      <x:c r="E589" s="20" t="n">
        <x:v>0</x:v>
      </x:c>
      <x:c r="F589" s="20" t="n">
        <x:v>0</x:v>
      </x:c>
      <x:c r="G589" s="20" t="n">
        <x:v>0</x:v>
      </x:c>
      <x:c r="H589" s="20" t="n">
        <x:f>E589-G589</x:f>
        <x:v>0</x:v>
      </x:c>
    </x:row>
    <x:row r="590">
      <x:c r="A590" t="str">
        <x:v>59864</x:v>
      </x:c>
      <x:c r="B590" s="17" t="n">
        <x:v>45717</x:v>
      </x:c>
      <x:c r="C590" t="str">
        <x:v>Щербаковская 5А</x:v>
      </x:c>
      <x:c r="D590" s="14" t="n">
        <x:v>0</x:v>
      </x:c>
      <x:c r="E590" s="20" t="n">
        <x:v>0</x:v>
      </x:c>
      <x:c r="F590" s="20" t="n">
        <x:v>0</x:v>
      </x:c>
      <x:c r="G590" s="20" t="n">
        <x:v>0</x:v>
      </x:c>
      <x:c r="H590" s="20" t="n">
        <x:f>E590-G590</x:f>
        <x:v>0</x:v>
      </x:c>
    </x:row>
    <x:row r="591">
      <x:c r="A591" t="str">
        <x:v>59864</x:v>
      </x:c>
      <x:c r="B591" s="17" t="n">
        <x:v>45748</x:v>
      </x:c>
      <x:c r="C591" t="str">
        <x:v>Щербаковская 5А</x:v>
      </x:c>
      <x:c r="D591" s="14" t="n">
        <x:v>0</x:v>
      </x:c>
      <x:c r="E591" s="20" t="n">
        <x:v>0</x:v>
      </x:c>
      <x:c r="F591" s="20" t="n">
        <x:v>0</x:v>
      </x:c>
      <x:c r="G591" s="20" t="n">
        <x:v>0</x:v>
      </x:c>
      <x:c r="H591" s="20" t="n">
        <x:f>E591-G591</x:f>
        <x:v>0</x:v>
      </x:c>
    </x:row>
    <x:row r="592">
      <x:c r="A592" t="str">
        <x:v>59864</x:v>
      </x:c>
      <x:c r="B592" s="17" t="n">
        <x:v>45778</x:v>
      </x:c>
      <x:c r="C592" t="str">
        <x:v>Щербаковская 5А</x:v>
      </x:c>
      <x:c r="D592" s="14" t="n">
        <x:v>0</x:v>
      </x:c>
      <x:c r="E592" s="20" t="n">
        <x:v>0</x:v>
      </x:c>
      <x:c r="F592" s="20" t="n">
        <x:v>0</x:v>
      </x:c>
      <x:c r="G592" s="20" t="n">
        <x:v>0</x:v>
      </x:c>
      <x:c r="H592" s="20" t="n">
        <x:f>E592-G592</x:f>
        <x:v>0</x:v>
      </x:c>
    </x:row>
    <x:row r="593">
      <x:c r="A593" t="str">
        <x:v>59864</x:v>
      </x:c>
      <x:c r="B593" s="17" t="n">
        <x:v>45809</x:v>
      </x:c>
      <x:c r="C593" t="str">
        <x:v>Щербаковская 5А</x:v>
      </x:c>
      <x:c r="D593" s="14" t="n">
        <x:v>0</x:v>
      </x:c>
      <x:c r="E593" s="20" t="n">
        <x:v>0</x:v>
      </x:c>
      <x:c r="F593" s="20" t="n">
        <x:v>0</x:v>
      </x:c>
      <x:c r="G593" s="20" t="n">
        <x:v>0</x:v>
      </x:c>
      <x:c r="H593" s="20" t="n">
        <x:f>E593-G593</x:f>
        <x:v>0</x:v>
      </x:c>
    </x:row>
    <x:row r="594">
      <x:c r="A594" t="str">
        <x:v>59864</x:v>
      </x:c>
      <x:c r="B594" s="17" t="n">
        <x:v>45839</x:v>
      </x:c>
      <x:c r="C594" t="str">
        <x:v>Щербаковская 5А</x:v>
      </x:c>
      <x:c r="D594" s="14" t="n">
        <x:v>0</x:v>
      </x:c>
      <x:c r="E594" s="20" t="n">
        <x:v>0</x:v>
      </x:c>
      <x:c r="F594" s="20" t="n">
        <x:v>0</x:v>
      </x:c>
      <x:c r="G594" s="20" t="n">
        <x:v>0</x:v>
      </x:c>
      <x:c r="H594" s="20" t="n">
        <x:f>E594-G594</x:f>
        <x:v>0</x:v>
      </x:c>
    </x:row>
    <x:row r="595">
      <x:c r="A595" t="str">
        <x:v>59864</x:v>
      </x:c>
      <x:c r="B595" s="17" t="n">
        <x:v>45870</x:v>
      </x:c>
      <x:c r="C595" t="str">
        <x:v>Щербаковская 5А</x:v>
      </x:c>
      <x:c r="D595" s="14" t="n">
        <x:v>0</x:v>
      </x:c>
      <x:c r="E595" s="20" t="n">
        <x:v>0</x:v>
      </x:c>
      <x:c r="F595" s="20" t="n">
        <x:v>0</x:v>
      </x:c>
      <x:c r="G595" s="20" t="n">
        <x:v>0</x:v>
      </x:c>
      <x:c r="H595" s="20" t="n">
        <x:f>E595-G595</x:f>
        <x:v>0</x:v>
      </x:c>
    </x:row>
    <x:row r="596">
      <x:c r="A596" t="str">
        <x:v>59864</x:v>
      </x:c>
      <x:c r="B596" s="17" t="n">
        <x:v>45901</x:v>
      </x:c>
      <x:c r="C596" t="str">
        <x:v>Щербаковская 5А</x:v>
      </x:c>
      <x:c r="D596" s="14" t="n">
        <x:v>0</x:v>
      </x:c>
      <x:c r="E596" s="20" t="n">
        <x:v>0</x:v>
      </x:c>
      <x:c r="F596" s="20" t="n">
        <x:v>0</x:v>
      </x:c>
      <x:c r="G596" s="20" t="n">
        <x:v>0</x:v>
      </x:c>
      <x:c r="H596" s="20" t="n">
        <x:f>E596-G596</x:f>
        <x:v>0</x:v>
      </x:c>
    </x:row>
    <x:row r="597">
      <x:c r="A597" t="str">
        <x:v>59864</x:v>
      </x:c>
      <x:c r="B597" s="17" t="n">
        <x:v>45931</x:v>
      </x:c>
      <x:c r="C597" t="str">
        <x:v>Щербаковская 5А</x:v>
      </x:c>
      <x:c r="D597" s="14" t="n">
        <x:v>0</x:v>
      </x:c>
      <x:c r="E597" s="20" t="n">
        <x:v>0</x:v>
      </x:c>
      <x:c r="F597" s="20" t="n">
        <x:v>0</x:v>
      </x:c>
      <x:c r="G597" s="20" t="n">
        <x:v>0</x:v>
      </x:c>
      <x:c r="H597" s="20" t="n">
        <x:f>E597-G597</x:f>
        <x:v>0</x:v>
      </x:c>
    </x:row>
    <x:row r="598">
      <x:c r="A598" t="str">
        <x:v>59864</x:v>
      </x:c>
      <x:c r="B598" s="17" t="n">
        <x:v>45962</x:v>
      </x:c>
      <x:c r="C598" t="str">
        <x:v>Щербаковская 5А</x:v>
      </x:c>
      <x:c r="D598" s="14" t="n">
        <x:v>0</x:v>
      </x:c>
      <x:c r="E598" s="20" t="n">
        <x:v>0</x:v>
      </x:c>
      <x:c r="F598" s="20" t="n">
        <x:v>0</x:v>
      </x:c>
      <x:c r="G598" s="20" t="n">
        <x:v>0</x:v>
      </x:c>
      <x:c r="H598" s="20" t="n">
        <x:f>E598-G598</x:f>
        <x:v>0</x:v>
      </x:c>
    </x:row>
    <x:row r="599">
      <x:c r="A599" t="str">
        <x:v>59864</x:v>
      </x:c>
      <x:c r="B599" s="17" t="n">
        <x:v>45992</x:v>
      </x:c>
      <x:c r="C599" t="str">
        <x:v>Щербаковская 5А</x:v>
      </x:c>
      <x:c r="D599" s="14" t="n">
        <x:v>0</x:v>
      </x:c>
      <x:c r="E599" s="20" t="n">
        <x:v>0</x:v>
      </x:c>
      <x:c r="F599" s="20" t="n">
        <x:v>0</x:v>
      </x:c>
      <x:c r="G599" s="20" t="n">
        <x:v>0</x:v>
      </x:c>
      <x:c r="H599" s="20" t="n">
        <x:f>E599-G599</x:f>
        <x:v>0</x:v>
      </x:c>
    </x:row>
    <x:row r="600">
      <x:c r="A600" t="str">
        <x:v>59864</x:v>
      </x:c>
      <x:c r="B600" s="17" t="n">
        <x:v>46023</x:v>
      </x:c>
      <x:c r="C600" t="str">
        <x:v>Щербаковская 5А</x:v>
      </x:c>
      <x:c r="D600" s="14" t="n">
        <x:v>0</x:v>
      </x:c>
      <x:c r="E600" s="20" t="n">
        <x:v>0</x:v>
      </x:c>
      <x:c r="F600" s="20" t="n">
        <x:v>0</x:v>
      </x:c>
      <x:c r="G600" s="20" t="n">
        <x:v>0</x:v>
      </x:c>
      <x:c r="H600" s="20" t="n">
        <x:f>E600-G600</x:f>
        <x:v>0</x:v>
      </x:c>
    </x:row>
    <x:row r="601">
      <x:c r="A601" t="str">
        <x:v>59864</x:v>
      </x:c>
      <x:c r="B601" s="17" t="n">
        <x:v>46054</x:v>
      </x:c>
      <x:c r="C601" t="str">
        <x:v>Щербаковская 5А</x:v>
      </x:c>
      <x:c r="D601" s="14" t="n">
        <x:v>0</x:v>
      </x:c>
      <x:c r="E601" s="20" t="n">
        <x:v>0</x:v>
      </x:c>
      <x:c r="F601" s="20" t="n">
        <x:v>0</x:v>
      </x:c>
      <x:c r="G601" s="20" t="n">
        <x:v>0</x:v>
      </x:c>
      <x:c r="H601" s="20" t="n">
        <x:f>E601-G601</x:f>
        <x:v>0</x:v>
      </x:c>
    </x:row>
    <x:row r="602">
      <x:c r="A602" t="str">
        <x:v>59864</x:v>
      </x:c>
      <x:c r="B602" s="17" t="n">
        <x:v>46082</x:v>
      </x:c>
      <x:c r="C602" t="str">
        <x:v>Щербаковская 5А</x:v>
      </x:c>
      <x:c r="D602" s="14" t="n">
        <x:v>0</x:v>
      </x:c>
      <x:c r="E602" s="20" t="n">
        <x:v>0</x:v>
      </x:c>
      <x:c r="F602" s="20" t="n">
        <x:v>0</x:v>
      </x:c>
      <x:c r="G602" s="20" t="n">
        <x:v>0</x:v>
      </x:c>
      <x:c r="H602" s="20" t="n">
        <x:f>E602-G602</x:f>
        <x:v>0</x:v>
      </x:c>
    </x:row>
    <x:row r="603">
      <x:c r="A603" t="str">
        <x:v>59864</x:v>
      </x:c>
      <x:c r="B603" s="17" t="n">
        <x:v>46113</x:v>
      </x:c>
      <x:c r="C603" t="str">
        <x:v>Щербаковская 5А</x:v>
      </x:c>
      <x:c r="D603" s="14" t="n">
        <x:v>0</x:v>
      </x:c>
      <x:c r="E603" s="20" t="n">
        <x:v>0</x:v>
      </x:c>
      <x:c r="F603" s="20" t="n">
        <x:v>0</x:v>
      </x:c>
      <x:c r="G603" s="20" t="n">
        <x:v>0</x:v>
      </x:c>
      <x:c r="H603" s="20" t="n">
        <x:f>E603-G603</x:f>
        <x:v>0</x:v>
      </x:c>
    </x:row>
    <x:row r="604">
      <x:c r="A604" t="str">
        <x:v>59864</x:v>
      </x:c>
      <x:c r="B604" s="17" t="n">
        <x:v>46143</x:v>
      </x:c>
      <x:c r="C604" t="str">
        <x:v>Щербаковская 5А</x:v>
      </x:c>
      <x:c r="D604" s="14" t="n">
        <x:v>0</x:v>
      </x:c>
      <x:c r="E604" s="20" t="n">
        <x:v>0</x:v>
      </x:c>
      <x:c r="F604" s="20" t="n">
        <x:v>0</x:v>
      </x:c>
      <x:c r="G604" s="20" t="n">
        <x:v>0</x:v>
      </x:c>
      <x:c r="H604" s="20" t="n">
        <x:f>E604-G604</x:f>
        <x:v>0</x:v>
      </x:c>
    </x:row>
    <x:row r="605">
      <x:c r="A605" t="str">
        <x:v>59864</x:v>
      </x:c>
      <x:c r="B605" s="17" t="n">
        <x:v>46174</x:v>
      </x:c>
      <x:c r="C605" t="str">
        <x:v>Щербаковская 5А</x:v>
      </x:c>
      <x:c r="D605" s="14" t="n">
        <x:v>0</x:v>
      </x:c>
      <x:c r="E605" s="20" t="n">
        <x:v>0</x:v>
      </x:c>
      <x:c r="F605" s="20" t="n">
        <x:v>0</x:v>
      </x:c>
      <x:c r="G605" s="20" t="n">
        <x:v>0</x:v>
      </x:c>
      <x:c r="H605" s="20" t="n">
        <x:f>E605-G605</x:f>
        <x:v>0</x:v>
      </x:c>
    </x:row>
    <x:row r="606">
      <x:c r="A606" t="str">
        <x:v>59864</x:v>
      </x:c>
      <x:c r="B606" s="17" t="n">
        <x:v>46204</x:v>
      </x:c>
      <x:c r="C606" t="str">
        <x:v>Щербаковская 5А</x:v>
      </x:c>
      <x:c r="D606" s="14" t="n">
        <x:v>0</x:v>
      </x:c>
      <x:c r="E606" s="20" t="n">
        <x:v>0</x:v>
      </x:c>
      <x:c r="F606" s="20" t="n">
        <x:v>0</x:v>
      </x:c>
      <x:c r="G606" s="20" t="n">
        <x:v>0</x:v>
      </x:c>
      <x:c r="H606" s="20" t="n">
        <x:f>E606-G606</x:f>
        <x:v>0</x:v>
      </x:c>
    </x:row>
    <x:row r="607">
      <x:c r="A607" t="str">
        <x:v>59864</x:v>
      </x:c>
      <x:c r="B607" s="17" t="n">
        <x:v>46235</x:v>
      </x:c>
      <x:c r="C607" t="str">
        <x:v>Щербаковская 5А</x:v>
      </x:c>
      <x:c r="D607" s="14" t="n">
        <x:v>0</x:v>
      </x:c>
      <x:c r="E607" s="20" t="n">
        <x:v>0</x:v>
      </x:c>
      <x:c r="F607" s="20" t="n">
        <x:v>0</x:v>
      </x:c>
      <x:c r="G607" s="20" t="n">
        <x:v>0</x:v>
      </x:c>
      <x:c r="H607" s="20" t="n">
        <x:f>E607-G607</x:f>
        <x:v>0</x:v>
      </x:c>
    </x:row>
    <x:row r="608">
      <x:c r="A608" t="str">
        <x:v>59864</x:v>
      </x:c>
      <x:c r="B608" s="17" t="n">
        <x:v>46266</x:v>
      </x:c>
      <x:c r="C608" t="str">
        <x:v>Щербаковская 5А</x:v>
      </x:c>
      <x:c r="D608" s="14" t="n">
        <x:v>0</x:v>
      </x:c>
      <x:c r="E608" s="20" t="n">
        <x:v>0</x:v>
      </x:c>
      <x:c r="F608" s="20" t="n">
        <x:v>0</x:v>
      </x:c>
      <x:c r="G608" s="20" t="n">
        <x:v>0</x:v>
      </x:c>
      <x:c r="H608" s="20" t="n">
        <x:f>E608-G608</x:f>
        <x:v>0</x:v>
      </x:c>
    </x:row>
    <x:row r="609">
      <x:c r="A609" t="str">
        <x:v>61422</x:v>
      </x:c>
      <x:c r="B609" s="17" t="n">
        <x:v>45536</x:v>
      </x:c>
      <x:c r="C609" t="str">
        <x:v>Символ</x:v>
      </x:c>
      <x:c r="D609" s="14" t="n">
        <x:v>31</x:v>
      </x:c>
      <x:c r="E609" s="20" t="n">
        <x:v>1850.6</x:v>
      </x:c>
      <x:c r="F609" s="20" t="n">
        <x:v>733269093</x:v>
      </x:c>
      <x:c r="G609" s="20" t="n">
        <x:v>0</x:v>
      </x:c>
      <x:c r="H609" s="20" t="n">
        <x:f>E609-G609</x:f>
        <x:v>1850.6</x:v>
      </x:c>
    </x:row>
    <x:row r="610">
      <x:c r="A610" t="str">
        <x:v>61422</x:v>
      </x:c>
      <x:c r="B610" s="17" t="n">
        <x:v>45566</x:v>
      </x:c>
      <x:c r="C610" t="str">
        <x:v>Символ</x:v>
      </x:c>
      <x:c r="D610" s="14" t="n">
        <x:v>12</x:v>
      </x:c>
      <x:c r="E610" s="20" t="n">
        <x:v>620.4</x:v>
      </x:c>
      <x:c r="F610" s="20" t="n">
        <x:v>248523871</x:v>
      </x:c>
      <x:c r="G610" s="20" t="n">
        <x:v>26.7</x:v>
      </x:c>
      <x:c r="H610" s="20" t="n">
        <x:f>E610-G610</x:f>
        <x:v>593.6999999999999</x:v>
      </x:c>
    </x:row>
    <x:row r="611">
      <x:c r="A611" t="str">
        <x:v>61422</x:v>
      </x:c>
      <x:c r="B611" s="17" t="n">
        <x:v>45597</x:v>
      </x:c>
      <x:c r="C611" t="str">
        <x:v>Символ</x:v>
      </x:c>
      <x:c r="D611" s="14" t="n">
        <x:v>16</x:v>
      </x:c>
      <x:c r="E611" s="20" t="n">
        <x:v>1006</x:v>
      </x:c>
      <x:c r="F611" s="20" t="n">
        <x:v>393060962</x:v>
      </x:c>
      <x:c r="G611" s="20" t="n">
        <x:v>68.6</x:v>
      </x:c>
      <x:c r="H611" s="20" t="n">
        <x:f>E611-G611</x:f>
        <x:v>937.4</x:v>
      </x:c>
    </x:row>
    <x:row r="612">
      <x:c r="A612" t="str">
        <x:v>61422</x:v>
      </x:c>
      <x:c r="B612" s="17" t="n">
        <x:v>45627</x:v>
      </x:c>
      <x:c r="C612" t="str">
        <x:v>Символ</x:v>
      </x:c>
      <x:c r="D612" s="14" t="n">
        <x:v>5</x:v>
      </x:c>
      <x:c r="E612" s="20" t="n">
        <x:v>318.6</x:v>
      </x:c>
      <x:c r="F612" s="20" t="n">
        <x:v>128009430</x:v>
      </x:c>
      <x:c r="G612" s="20" t="n">
        <x:v>0</x:v>
      </x:c>
      <x:c r="H612" s="20" t="n">
        <x:f>E612-G612</x:f>
        <x:v>318.6</x:v>
      </x:c>
    </x:row>
    <x:row r="613">
      <x:c r="A613" t="str">
        <x:v>61422</x:v>
      </x:c>
      <x:c r="B613" s="17" t="n">
        <x:v>45658</x:v>
      </x:c>
      <x:c r="C613" t="str">
        <x:v>Символ</x:v>
      </x:c>
      <x:c r="D613" s="14" t="n">
        <x:v>4</x:v>
      </x:c>
      <x:c r="E613" s="20" t="n">
        <x:v>222.7</x:v>
      </x:c>
      <x:c r="F613" s="20" t="n">
        <x:v>90604740</x:v>
      </x:c>
      <x:c r="G613" s="20" t="n">
        <x:v>0</x:v>
      </x:c>
      <x:c r="H613" s="20" t="n">
        <x:f>E613-G613</x:f>
        <x:v>222.7</x:v>
      </x:c>
    </x:row>
    <x:row r="614">
      <x:c r="A614" t="str">
        <x:v>61422</x:v>
      </x:c>
      <x:c r="B614" s="17" t="n">
        <x:v>45689</x:v>
      </x:c>
      <x:c r="C614" t="str">
        <x:v>Символ</x:v>
      </x:c>
      <x:c r="D614" s="14" t="n">
        <x:v>11</x:v>
      </x:c>
      <x:c r="E614" s="20" t="n">
        <x:v>537.6</x:v>
      </x:c>
      <x:c r="F614" s="20" t="n">
        <x:v>236086701</x:v>
      </x:c>
      <x:c r="G614" s="20" t="n">
        <x:v>0</x:v>
      </x:c>
      <x:c r="H614" s="20" t="n">
        <x:f>E614-G614</x:f>
        <x:v>537.6</x:v>
      </x:c>
    </x:row>
    <x:row r="615">
      <x:c r="A615" t="str">
        <x:v>61422</x:v>
      </x:c>
      <x:c r="B615" s="17" t="n">
        <x:v>45717</x:v>
      </x:c>
      <x:c r="C615" t="str">
        <x:v>Символ</x:v>
      </x:c>
      <x:c r="D615" s="14" t="n">
        <x:v>5</x:v>
      </x:c>
      <x:c r="E615" s="20" t="n">
        <x:v>375.5</x:v>
      </x:c>
      <x:c r="F615" s="20" t="n">
        <x:v>163468200</x:v>
      </x:c>
      <x:c r="G615" s="20" t="n">
        <x:v>0</x:v>
      </x:c>
      <x:c r="H615" s="20" t="n">
        <x:f>E615-G615</x:f>
        <x:v>375.5</x:v>
      </x:c>
    </x:row>
    <x:row r="616">
      <x:c r="A616" t="str">
        <x:v>61422</x:v>
      </x:c>
      <x:c r="B616" s="17" t="n">
        <x:v>45748</x:v>
      </x:c>
      <x:c r="C616" t="str">
        <x:v>Символ</x:v>
      </x:c>
      <x:c r="D616" s="14" t="n">
        <x:v>4</x:v>
      </x:c>
      <x:c r="E616" s="20" t="n">
        <x:v>256</x:v>
      </x:c>
      <x:c r="F616" s="20" t="n">
        <x:v>98586696</x:v>
      </x:c>
      <x:c r="G616" s="20" t="n">
        <x:v>0</x:v>
      </x:c>
      <x:c r="H616" s="20" t="n">
        <x:f>E616-G616</x:f>
        <x:v>256</x:v>
      </x:c>
    </x:row>
    <x:row r="617">
      <x:c r="A617" t="str">
        <x:v>61422</x:v>
      </x:c>
      <x:c r="B617" s="17" t="n">
        <x:v>45778</x:v>
      </x:c>
      <x:c r="C617" t="str">
        <x:v>Символ</x:v>
      </x:c>
      <x:c r="D617" s="14" t="n">
        <x:v>3</x:v>
      </x:c>
      <x:c r="E617" s="20" t="n">
        <x:v>249.5</x:v>
      </x:c>
      <x:c r="F617" s="20" t="n">
        <x:v>97903675</x:v>
      </x:c>
      <x:c r="G617" s="20" t="n">
        <x:v>67.5</x:v>
      </x:c>
      <x:c r="H617" s="20" t="n">
        <x:f>E617-G617</x:f>
        <x:v>182</x:v>
      </x:c>
    </x:row>
    <x:row r="618">
      <x:c r="A618" t="str">
        <x:v>61422</x:v>
      </x:c>
      <x:c r="B618" s="17" t="n">
        <x:v>45809</x:v>
      </x:c>
      <x:c r="C618" t="str">
        <x:v>Символ</x:v>
      </x:c>
      <x:c r="D618" s="14" t="n">
        <x:v>5</x:v>
      </x:c>
      <x:c r="E618" s="20" t="n">
        <x:v>317.3</x:v>
      </x:c>
      <x:c r="F618" s="20" t="n">
        <x:v>133108127</x:v>
      </x:c>
      <x:c r="G618" s="20" t="n">
        <x:v>0</x:v>
      </x:c>
      <x:c r="H618" s="20" t="n">
        <x:f>E618-G618</x:f>
        <x:v>317.3</x:v>
      </x:c>
    </x:row>
    <x:row r="619">
      <x:c r="A619" t="str">
        <x:v>61422</x:v>
      </x:c>
      <x:c r="B619" s="17" t="n">
        <x:v>45839</x:v>
      </x:c>
      <x:c r="C619" t="str">
        <x:v>Символ</x:v>
      </x:c>
      <x:c r="D619" s="14" t="n">
        <x:v>9</x:v>
      </x:c>
      <x:c r="E619" s="20" t="n">
        <x:v>605</x:v>
      </x:c>
      <x:c r="F619" s="20" t="n">
        <x:v>254488874</x:v>
      </x:c>
      <x:c r="G619" s="20" t="n">
        <x:v>0</x:v>
      </x:c>
      <x:c r="H619" s="20" t="n">
        <x:f>E619-G619</x:f>
        <x:v>605</x:v>
      </x:c>
    </x:row>
    <x:row r="620">
      <x:c r="A620" t="str">
        <x:v>61422</x:v>
      </x:c>
      <x:c r="B620" s="17" t="n">
        <x:v>45870</x:v>
      </x:c>
      <x:c r="C620" t="str">
        <x:v>Символ</x:v>
      </x:c>
      <x:c r="D620" s="14" t="n">
        <x:v>3</x:v>
      </x:c>
      <x:c r="E620" s="20" t="n">
        <x:v>202.6</x:v>
      </x:c>
      <x:c r="F620" s="20" t="n">
        <x:v>82889024</x:v>
      </x:c>
      <x:c r="G620" s="20" t="n">
        <x:v>0</x:v>
      </x:c>
      <x:c r="H620" s="20" t="n">
        <x:f>E620-G620</x:f>
        <x:v>202.6</x:v>
      </x:c>
    </x:row>
    <x:row r="621">
      <x:c r="A621" t="str">
        <x:v>61422</x:v>
      </x:c>
      <x:c r="B621" s="17" t="n">
        <x:v>45901</x:v>
      </x:c>
      <x:c r="C621" t="str">
        <x:v>Символ</x:v>
      </x:c>
      <x:c r="D621" s="14" t="n">
        <x:v>497</x:v>
      </x:c>
      <x:c r="E621" s="20" t="n">
        <x:v>29801.1</x:v>
      </x:c>
      <x:c r="F621" s="20" t="n">
        <x:v>12652585148</x:v>
      </x:c>
      <x:c r="G621" s="20" t="n">
        <x:v>0</x:v>
      </x:c>
      <x:c r="H621" s="20" t="n">
        <x:f>E621-G621</x:f>
        <x:v>29801.1</x:v>
      </x:c>
    </x:row>
    <x:row r="622">
      <x:c r="A622" t="str">
        <x:v>61422</x:v>
      </x:c>
      <x:c r="B622" s="17" t="n">
        <x:v>45931</x:v>
      </x:c>
      <x:c r="C622" t="str">
        <x:v>Символ</x:v>
      </x:c>
      <x:c r="D622" s="14" t="n">
        <x:v>77</x:v>
      </x:c>
      <x:c r="E622" s="20" t="n">
        <x:v>4675.7</x:v>
      </x:c>
      <x:c r="F622" s="20" t="n">
        <x:v>2156147641</x:v>
      </x:c>
      <x:c r="G622" s="20" t="n">
        <x:v>72.6</x:v>
      </x:c>
      <x:c r="H622" s="20" t="n">
        <x:f>E622-G622</x:f>
        <x:v>4603.099999999999</x:v>
      </x:c>
    </x:row>
    <x:row r="623">
      <x:c r="A623" t="str">
        <x:v>61422</x:v>
      </x:c>
      <x:c r="B623" s="17" t="n">
        <x:v>45962</x:v>
      </x:c>
      <x:c r="C623" t="str">
        <x:v>Символ</x:v>
      </x:c>
      <x:c r="D623" s="14" t="n">
        <x:v>77</x:v>
      </x:c>
      <x:c r="E623" s="20" t="n">
        <x:v>4048.2</x:v>
      </x:c>
      <x:c r="F623" s="20" t="n">
        <x:v>1965618711</x:v>
      </x:c>
      <x:c r="G623" s="20" t="n">
        <x:v>0</x:v>
      </x:c>
      <x:c r="H623" s="20" t="n">
        <x:f>E623-G623</x:f>
        <x:v>4048.2</x:v>
      </x:c>
    </x:row>
    <x:row r="624">
      <x:c r="A624" t="str">
        <x:v>61422</x:v>
      </x:c>
      <x:c r="B624" s="17" t="n">
        <x:v>45992</x:v>
      </x:c>
      <x:c r="C624" t="str">
        <x:v>Символ</x:v>
      </x:c>
      <x:c r="D624" s="14" t="n">
        <x:v>92</x:v>
      </x:c>
      <x:c r="E624" s="20" t="n">
        <x:v>5233</x:v>
      </x:c>
      <x:c r="F624" s="20" t="n">
        <x:v>2500147896</x:v>
      </x:c>
      <x:c r="G624" s="20" t="n">
        <x:v>0</x:v>
      </x:c>
      <x:c r="H624" s="20" t="n">
        <x:f>E624-G624</x:f>
        <x:v>5233</x:v>
      </x:c>
    </x:row>
    <x:row r="625">
      <x:c r="A625" t="str">
        <x:v>61422</x:v>
      </x:c>
      <x:c r="B625" s="17" t="n">
        <x:v>46023</x:v>
      </x:c>
      <x:c r="C625" t="str">
        <x:v>Символ</x:v>
      </x:c>
      <x:c r="D625" s="14" t="n">
        <x:v>19</x:v>
      </x:c>
      <x:c r="E625" s="20" t="n">
        <x:v>1217.8</x:v>
      </x:c>
      <x:c r="F625" s="20" t="n">
        <x:v>596705858</x:v>
      </x:c>
      <x:c r="G625" s="20" t="n">
        <x:v>0</x:v>
      </x:c>
      <x:c r="H625" s="20" t="n">
        <x:f>E625-G625</x:f>
        <x:v>1217.8</x:v>
      </x:c>
    </x:row>
    <x:row r="626">
      <x:c r="A626" t="str">
        <x:v>61422</x:v>
      </x:c>
      <x:c r="B626" s="17" t="n">
        <x:v>46054</x:v>
      </x:c>
      <x:c r="C626" t="str">
        <x:v>Символ</x:v>
      </x:c>
      <x:c r="D626" s="14" t="n">
        <x:v>13</x:v>
      </x:c>
      <x:c r="E626" s="20" t="n">
        <x:v>862.3</x:v>
      </x:c>
      <x:c r="F626" s="20" t="n">
        <x:v>414950735</x:v>
      </x:c>
      <x:c r="G626" s="20" t="n">
        <x:v>62.4</x:v>
      </x:c>
      <x:c r="H626" s="20" t="n">
        <x:f>E626-G626</x:f>
        <x:v>799.9</x:v>
      </x:c>
    </x:row>
    <x:row r="627">
      <x:c r="A627" t="str">
        <x:v>61422</x:v>
      </x:c>
      <x:c r="B627" s="17" t="n">
        <x:v>46082</x:v>
      </x:c>
      <x:c r="C627" t="str">
        <x:v>Символ</x:v>
      </x:c>
      <x:c r="D627" s="14" t="n">
        <x:v>21</x:v>
      </x:c>
      <x:c r="E627" s="20" t="n">
        <x:v>1283.3</x:v>
      </x:c>
      <x:c r="F627" s="20" t="n">
        <x:v>660005964</x:v>
      </x:c>
      <x:c r="G627" s="20" t="n">
        <x:v>0</x:v>
      </x:c>
      <x:c r="H627" s="20" t="n">
        <x:f>E627-G627</x:f>
        <x:v>1283.3</x:v>
      </x:c>
    </x:row>
    <x:row r="628">
      <x:c r="A628" t="str">
        <x:v>61422</x:v>
      </x:c>
      <x:c r="B628" s="17" t="n">
        <x:v>46113</x:v>
      </x:c>
      <x:c r="C628" t="str">
        <x:v>Символ</x:v>
      </x:c>
      <x:c r="D628" s="14" t="n">
        <x:v>17</x:v>
      </x:c>
      <x:c r="E628" s="20" t="n">
        <x:v>1336</x:v>
      </x:c>
      <x:c r="F628" s="20" t="n">
        <x:v>661169550</x:v>
      </x:c>
      <x:c r="G628" s="20" t="n">
        <x:v>100.7</x:v>
      </x:c>
      <x:c r="H628" s="20" t="n">
        <x:f>E628-G628</x:f>
        <x:v>1235.3</x:v>
      </x:c>
    </x:row>
    <x:row r="629">
      <x:c r="A629" t="str">
        <x:v>61422</x:v>
      </x:c>
      <x:c r="B629" s="17" t="n">
        <x:v>46143</x:v>
      </x:c>
      <x:c r="C629" t="str">
        <x:v>Символ</x:v>
      </x:c>
      <x:c r="D629" s="14" t="n">
        <x:v>17</x:v>
      </x:c>
      <x:c r="E629" s="20" t="n">
        <x:v>1116.5</x:v>
      </x:c>
      <x:c r="F629" s="20" t="n">
        <x:v>587108869</x:v>
      </x:c>
      <x:c r="G629" s="20" t="n">
        <x:v>76.3</x:v>
      </x:c>
      <x:c r="H629" s="20" t="n">
        <x:f>E629-G629</x:f>
        <x:v>1040.2</x:v>
      </x:c>
    </x:row>
    <x:row r="630">
      <x:c r="A630" t="str">
        <x:v>61422</x:v>
      </x:c>
      <x:c r="B630" s="17" t="n">
        <x:v>46174</x:v>
      </x:c>
      <x:c r="C630" t="str">
        <x:v>Символ</x:v>
      </x:c>
      <x:c r="D630" s="14" t="n">
        <x:v>12</x:v>
      </x:c>
      <x:c r="E630" s="20" t="n">
        <x:v>773.1</x:v>
      </x:c>
      <x:c r="F630" s="20" t="n">
        <x:v>415988677</x:v>
      </x:c>
      <x:c r="G630" s="20" t="n">
        <x:v>0</x:v>
      </x:c>
      <x:c r="H630" s="20" t="n">
        <x:f>E630-G630</x:f>
        <x:v>773.1</x:v>
      </x:c>
    </x:row>
    <x:row r="631">
      <x:c r="A631" t="str">
        <x:v>61422</x:v>
      </x:c>
      <x:c r="B631" s="17" t="n">
        <x:v>46204</x:v>
      </x:c>
      <x:c r="C631" t="str">
        <x:v>Символ</x:v>
      </x:c>
      <x:c r="D631" s="14" t="n">
        <x:v>19</x:v>
      </x:c>
      <x:c r="E631" s="20" t="n">
        <x:v>1132.9</x:v>
      </x:c>
      <x:c r="F631" s="20" t="n">
        <x:v>115254650</x:v>
      </x:c>
      <x:c r="G631" s="20" t="n">
        <x:v>0</x:v>
      </x:c>
      <x:c r="H631" s="20" t="n">
        <x:f>E631-G631</x:f>
        <x:v>1132.9</x:v>
      </x:c>
    </x:row>
    <x:row r="632">
      <x:c r="A632" t="str">
        <x:v>61422</x:v>
      </x:c>
      <x:c r="B632" s="17" t="n">
        <x:v>46235</x:v>
      </x:c>
      <x:c r="C632" t="str">
        <x:v>Символ</x:v>
      </x:c>
      <x:c r="D632" s="14" t="n">
        <x:v>9</x:v>
      </x:c>
      <x:c r="E632" s="20" t="n">
        <x:v>736</x:v>
      </x:c>
      <x:c r="F632" s="20" t="n">
        <x:v>366924560</x:v>
      </x:c>
      <x:c r="G632" s="20" t="n">
        <x:v>0</x:v>
      </x:c>
      <x:c r="H632" s="20" t="n">
        <x:f>E632-G632</x:f>
        <x:v>736</x:v>
      </x:c>
    </x:row>
    <x:row r="633">
      <x:c r="A633" t="str">
        <x:v>61422</x:v>
      </x:c>
      <x:c r="B633" s="17" t="n">
        <x:v>46266</x:v>
      </x:c>
      <x:c r="C633" t="str">
        <x:v>Символ</x:v>
      </x:c>
      <x:c r="D633" s="14" t="n">
        <x:v>7</x:v>
      </x:c>
      <x:c r="E633" s="20" t="n">
        <x:v>548.7</x:v>
      </x:c>
      <x:c r="F633" s="20" t="n">
        <x:v>269460996</x:v>
      </x:c>
      <x:c r="G633" s="20" t="n">
        <x:v>55.5</x:v>
      </x:c>
      <x:c r="H633" s="20" t="n">
        <x:f>E633-G633</x:f>
        <x:v>493.20000000000005</x:v>
      </x:c>
    </x:row>
    <x:row r="634">
      <x:c r="A634" t="str">
        <x:v>62589</x:v>
      </x:c>
      <x:c r="B634" s="17" t="n">
        <x:v>45597</x:v>
      </x:c>
      <x:c r="C634" t="str">
        <x:v>Ракурс</x:v>
      </x:c>
      <x:c r="D634" s="14" t="n">
        <x:v>171</x:v>
      </x:c>
      <x:c r="E634" s="20" t="n">
        <x:v>9855.2</x:v>
      </x:c>
      <x:c r="F634" s="20" t="n">
        <x:v>1636396828.8</x:v>
      </x:c>
      <x:c r="G634" s="20" t="n">
        <x:v>0</x:v>
      </x:c>
      <x:c r="H634" s="20" t="n">
        <x:f>E634-G634</x:f>
        <x:v>9855.2</x:v>
      </x:c>
    </x:row>
    <x:row r="635">
      <x:c r="A635" t="str">
        <x:v>62589</x:v>
      </x:c>
      <x:c r="B635" s="17" t="n">
        <x:v>45627</x:v>
      </x:c>
      <x:c r="C635" t="str">
        <x:v>Ракурс</x:v>
      </x:c>
      <x:c r="D635" s="14" t="n">
        <x:v>0</x:v>
      </x:c>
      <x:c r="E635" s="20" t="n">
        <x:v>0</x:v>
      </x:c>
      <x:c r="F635" s="20" t="n">
        <x:v>0</x:v>
      </x:c>
      <x:c r="G635" s="20" t="n">
        <x:v>0</x:v>
      </x:c>
      <x:c r="H635" s="20" t="n">
        <x:f>E635-G635</x:f>
        <x:v>0</x:v>
      </x:c>
    </x:row>
    <x:row r="636">
      <x:c r="A636" t="str">
        <x:v>62589</x:v>
      </x:c>
      <x:c r="B636" s="17" t="n">
        <x:v>45658</x:v>
      </x:c>
      <x:c r="C636" t="str">
        <x:v>Ракурс</x:v>
      </x:c>
      <x:c r="D636" s="14" t="n">
        <x:v>0</x:v>
      </x:c>
      <x:c r="E636" s="20" t="n">
        <x:v>0</x:v>
      </x:c>
      <x:c r="F636" s="20" t="n">
        <x:v>0</x:v>
      </x:c>
      <x:c r="G636" s="20" t="n">
        <x:v>0</x:v>
      </x:c>
      <x:c r="H636" s="20" t="n">
        <x:f>E636-G636</x:f>
        <x:v>0</x:v>
      </x:c>
    </x:row>
    <x:row r="637">
      <x:c r="A637" t="str">
        <x:v>62589</x:v>
      </x:c>
      <x:c r="B637" s="17" t="n">
        <x:v>45689</x:v>
      </x:c>
      <x:c r="C637" t="str">
        <x:v>Ракурс</x:v>
      </x:c>
      <x:c r="D637" s="14" t="n">
        <x:v>0</x:v>
      </x:c>
      <x:c r="E637" s="20" t="n">
        <x:v>0</x:v>
      </x:c>
      <x:c r="F637" s="20" t="n">
        <x:v>0</x:v>
      </x:c>
      <x:c r="G637" s="20" t="n">
        <x:v>0</x:v>
      </x:c>
      <x:c r="H637" s="20" t="n">
        <x:f>E637-G637</x:f>
        <x:v>0</x:v>
      </x:c>
    </x:row>
    <x:row r="638">
      <x:c r="A638" t="str">
        <x:v>62589</x:v>
      </x:c>
      <x:c r="B638" s="17" t="n">
        <x:v>45717</x:v>
      </x:c>
      <x:c r="C638" t="str">
        <x:v>Ракурс</x:v>
      </x:c>
      <x:c r="D638" s="14" t="n">
        <x:v>0</x:v>
      </x:c>
      <x:c r="E638" s="20" t="n">
        <x:v>0</x:v>
      </x:c>
      <x:c r="F638" s="20" t="n">
        <x:v>0</x:v>
      </x:c>
      <x:c r="G638" s="20" t="n">
        <x:v>0</x:v>
      </x:c>
      <x:c r="H638" s="20" t="n">
        <x:f>E638-G638</x:f>
        <x:v>0</x:v>
      </x:c>
    </x:row>
    <x:row r="639">
      <x:c r="A639" t="str">
        <x:v>62589</x:v>
      </x:c>
      <x:c r="B639" s="17" t="n">
        <x:v>45748</x:v>
      </x:c>
      <x:c r="C639" t="str">
        <x:v>Ракурс</x:v>
      </x:c>
      <x:c r="D639" s="14" t="n">
        <x:v>0</x:v>
      </x:c>
      <x:c r="E639" s="20" t="n">
        <x:v>0</x:v>
      </x:c>
      <x:c r="F639" s="20" t="n">
        <x:v>0</x:v>
      </x:c>
      <x:c r="G639" s="20" t="n">
        <x:v>0</x:v>
      </x:c>
      <x:c r="H639" s="20" t="n">
        <x:f>E639-G639</x:f>
        <x:v>0</x:v>
      </x:c>
    </x:row>
    <x:row r="640">
      <x:c r="A640" t="str">
        <x:v>62589</x:v>
      </x:c>
      <x:c r="B640" s="17" t="n">
        <x:v>45778</x:v>
      </x:c>
      <x:c r="C640" t="str">
        <x:v>Ракурс</x:v>
      </x:c>
      <x:c r="D640" s="14" t="n">
        <x:v>0</x:v>
      </x:c>
      <x:c r="E640" s="20" t="n">
        <x:v>0</x:v>
      </x:c>
      <x:c r="F640" s="20" t="n">
        <x:v>0</x:v>
      </x:c>
      <x:c r="G640" s="20" t="n">
        <x:v>0</x:v>
      </x:c>
      <x:c r="H640" s="20" t="n">
        <x:f>E640-G640</x:f>
        <x:v>0</x:v>
      </x:c>
    </x:row>
    <x:row r="641">
      <x:c r="A641" t="str">
        <x:v>62589</x:v>
      </x:c>
      <x:c r="B641" s="17" t="n">
        <x:v>45809</x:v>
      </x:c>
      <x:c r="C641" t="str">
        <x:v>Ракурс</x:v>
      </x:c>
      <x:c r="D641" s="14" t="n">
        <x:v>0</x:v>
      </x:c>
      <x:c r="E641" s="20" t="n">
        <x:v>0</x:v>
      </x:c>
      <x:c r="F641" s="20" t="n">
        <x:v>0</x:v>
      </x:c>
      <x:c r="G641" s="20" t="n">
        <x:v>0</x:v>
      </x:c>
      <x:c r="H641" s="20" t="n">
        <x:f>E641-G641</x:f>
        <x:v>0</x:v>
      </x:c>
    </x:row>
    <x:row r="642">
      <x:c r="A642" t="str">
        <x:v>62589</x:v>
      </x:c>
      <x:c r="B642" s="17" t="n">
        <x:v>45839</x:v>
      </x:c>
      <x:c r="C642" t="str">
        <x:v>Ракурс</x:v>
      </x:c>
      <x:c r="D642" s="14" t="n">
        <x:v>0</x:v>
      </x:c>
      <x:c r="E642" s="20" t="n">
        <x:v>0</x:v>
      </x:c>
      <x:c r="F642" s="20" t="n">
        <x:v>0</x:v>
      </x:c>
      <x:c r="G642" s="20" t="n">
        <x:v>0</x:v>
      </x:c>
      <x:c r="H642" s="20" t="n">
        <x:f>E642-G642</x:f>
        <x:v>0</x:v>
      </x:c>
    </x:row>
    <x:row r="643">
      <x:c r="A643" t="str">
        <x:v>62589</x:v>
      </x:c>
      <x:c r="B643" s="17" t="n">
        <x:v>45870</x:v>
      </x:c>
      <x:c r="C643" t="str">
        <x:v>Ракурс</x:v>
      </x:c>
      <x:c r="D643" s="14" t="n">
        <x:v>0</x:v>
      </x:c>
      <x:c r="E643" s="20" t="n">
        <x:v>0</x:v>
      </x:c>
      <x:c r="F643" s="20" t="n">
        <x:v>0</x:v>
      </x:c>
      <x:c r="G643" s="20" t="n">
        <x:v>0</x:v>
      </x:c>
      <x:c r="H643" s="20" t="n">
        <x:f>E643-G643</x:f>
        <x:v>0</x:v>
      </x:c>
    </x:row>
    <x:row r="644">
      <x:c r="A644" t="str">
        <x:v>62589</x:v>
      </x:c>
      <x:c r="B644" s="17" t="n">
        <x:v>45901</x:v>
      </x:c>
      <x:c r="C644" t="str">
        <x:v>Ракурс</x:v>
      </x:c>
      <x:c r="D644" s="14" t="n">
        <x:v>0</x:v>
      </x:c>
      <x:c r="E644" s="20" t="n">
        <x:v>0</x:v>
      </x:c>
      <x:c r="F644" s="20" t="n">
        <x:v>0</x:v>
      </x:c>
      <x:c r="G644" s="20" t="n">
        <x:v>0</x:v>
      </x:c>
      <x:c r="H644" s="20" t="n">
        <x:f>E644-G644</x:f>
        <x:v>0</x:v>
      </x:c>
    </x:row>
    <x:row r="645">
      <x:c r="A645" t="str">
        <x:v>62589</x:v>
      </x:c>
      <x:c r="B645" s="17" t="n">
        <x:v>45931</x:v>
      </x:c>
      <x:c r="C645" t="str">
        <x:v>Ракурс</x:v>
      </x:c>
      <x:c r="D645" s="14" t="n">
        <x:v>0</x:v>
      </x:c>
      <x:c r="E645" s="20" t="n">
        <x:v>0</x:v>
      </x:c>
      <x:c r="F645" s="20" t="n">
        <x:v>0</x:v>
      </x:c>
      <x:c r="G645" s="20" t="n">
        <x:v>0</x:v>
      </x:c>
      <x:c r="H645" s="20" t="n">
        <x:f>E645-G645</x:f>
        <x:v>0</x:v>
      </x:c>
    </x:row>
    <x:row r="646">
      <x:c r="A646" t="str">
        <x:v>62589</x:v>
      </x:c>
      <x:c r="B646" s="17" t="n">
        <x:v>45962</x:v>
      </x:c>
      <x:c r="C646" t="str">
        <x:v>Ракурс</x:v>
      </x:c>
      <x:c r="D646" s="14" t="n">
        <x:v>0</x:v>
      </x:c>
      <x:c r="E646" s="20" t="n">
        <x:v>0</x:v>
      </x:c>
      <x:c r="F646" s="20" t="n">
        <x:v>0</x:v>
      </x:c>
      <x:c r="G646" s="20" t="n">
        <x:v>0</x:v>
      </x:c>
      <x:c r="H646" s="20" t="n">
        <x:f>E646-G646</x:f>
        <x:v>0</x:v>
      </x:c>
    </x:row>
    <x:row r="647">
      <x:c r="A647" t="str">
        <x:v>62589</x:v>
      </x:c>
      <x:c r="B647" s="17" t="n">
        <x:v>45992</x:v>
      </x:c>
      <x:c r="C647" t="str">
        <x:v>Ракурс</x:v>
      </x:c>
      <x:c r="D647" s="14" t="n">
        <x:v>0</x:v>
      </x:c>
      <x:c r="E647" s="20" t="n">
        <x:v>0</x:v>
      </x:c>
      <x:c r="F647" s="20" t="n">
        <x:v>0</x:v>
      </x:c>
      <x:c r="G647" s="20" t="n">
        <x:v>0</x:v>
      </x:c>
      <x:c r="H647" s="20" t="n">
        <x:f>E647-G647</x:f>
        <x:v>0</x:v>
      </x:c>
    </x:row>
    <x:row r="648">
      <x:c r="A648" t="str">
        <x:v>62589</x:v>
      </x:c>
      <x:c r="B648" s="17" t="n">
        <x:v>46023</x:v>
      </x:c>
      <x:c r="C648" t="str">
        <x:v>Ракурс</x:v>
      </x:c>
      <x:c r="D648" s="14" t="n">
        <x:v>0</x:v>
      </x:c>
      <x:c r="E648" s="20" t="n">
        <x:v>0</x:v>
      </x:c>
      <x:c r="F648" s="20" t="n">
        <x:v>0</x:v>
      </x:c>
      <x:c r="G648" s="20" t="n">
        <x:v>0</x:v>
      </x:c>
      <x:c r="H648" s="20" t="n">
        <x:f>E648-G648</x:f>
        <x:v>0</x:v>
      </x:c>
    </x:row>
    <x:row r="649">
      <x:c r="A649" t="str">
        <x:v>62589</x:v>
      </x:c>
      <x:c r="B649" s="17" t="n">
        <x:v>46054</x:v>
      </x:c>
      <x:c r="C649" t="str">
        <x:v>Ракурс</x:v>
      </x:c>
      <x:c r="D649" s="14" t="n">
        <x:v>0</x:v>
      </x:c>
      <x:c r="E649" s="20" t="n">
        <x:v>0</x:v>
      </x:c>
      <x:c r="F649" s="20" t="n">
        <x:v>0</x:v>
      </x:c>
      <x:c r="G649" s="20" t="n">
        <x:v>0</x:v>
      </x:c>
      <x:c r="H649" s="20" t="n">
        <x:f>E649-G649</x:f>
        <x:v>0</x:v>
      </x:c>
    </x:row>
    <x:row r="650">
      <x:c r="A650" t="str">
        <x:v>62589</x:v>
      </x:c>
      <x:c r="B650" s="17" t="n">
        <x:v>46082</x:v>
      </x:c>
      <x:c r="C650" t="str">
        <x:v>Ракурс</x:v>
      </x:c>
      <x:c r="D650" s="14" t="n">
        <x:v>0</x:v>
      </x:c>
      <x:c r="E650" s="20" t="n">
        <x:v>0</x:v>
      </x:c>
      <x:c r="F650" s="20" t="n">
        <x:v>0</x:v>
      </x:c>
      <x:c r="G650" s="20" t="n">
        <x:v>0</x:v>
      </x:c>
      <x:c r="H650" s="20" t="n">
        <x:f>E650-G650</x:f>
        <x:v>0</x:v>
      </x:c>
    </x:row>
    <x:row r="651">
      <x:c r="A651" t="str">
        <x:v>62589</x:v>
      </x:c>
      <x:c r="B651" s="17" t="n">
        <x:v>46113</x:v>
      </x:c>
      <x:c r="C651" t="str">
        <x:v>Ракурс</x:v>
      </x:c>
      <x:c r="D651" s="14" t="n">
        <x:v>0</x:v>
      </x:c>
      <x:c r="E651" s="20" t="n">
        <x:v>0</x:v>
      </x:c>
      <x:c r="F651" s="20" t="n">
        <x:v>0</x:v>
      </x:c>
      <x:c r="G651" s="20" t="n">
        <x:v>0</x:v>
      </x:c>
      <x:c r="H651" s="20" t="n">
        <x:f>E651-G651</x:f>
        <x:v>0</x:v>
      </x:c>
    </x:row>
    <x:row r="652">
      <x:c r="A652" t="str">
        <x:v>62589</x:v>
      </x:c>
      <x:c r="B652" s="17" t="n">
        <x:v>46143</x:v>
      </x:c>
      <x:c r="C652" t="str">
        <x:v>Ракурс</x:v>
      </x:c>
      <x:c r="D652" s="14" t="n">
        <x:v>0</x:v>
      </x:c>
      <x:c r="E652" s="20" t="n">
        <x:v>0</x:v>
      </x:c>
      <x:c r="F652" s="20" t="n">
        <x:v>0</x:v>
      </x:c>
      <x:c r="G652" s="20" t="n">
        <x:v>0</x:v>
      </x:c>
      <x:c r="H652" s="20" t="n">
        <x:f>E652-G652</x:f>
        <x:v>0</x:v>
      </x:c>
    </x:row>
    <x:row r="653">
      <x:c r="A653" t="str">
        <x:v>62589</x:v>
      </x:c>
      <x:c r="B653" s="17" t="n">
        <x:v>46174</x:v>
      </x:c>
      <x:c r="C653" t="str">
        <x:v>Ракурс</x:v>
      </x:c>
      <x:c r="D653" s="14" t="n">
        <x:v>0</x:v>
      </x:c>
      <x:c r="E653" s="20" t="n">
        <x:v>0</x:v>
      </x:c>
      <x:c r="F653" s="20" t="n">
        <x:v>0</x:v>
      </x:c>
      <x:c r="G653" s="20" t="n">
        <x:v>0</x:v>
      </x:c>
      <x:c r="H653" s="20" t="n">
        <x:f>E653-G653</x:f>
        <x:v>0</x:v>
      </x:c>
    </x:row>
    <x:row r="654">
      <x:c r="A654" t="str">
        <x:v>62589</x:v>
      </x:c>
      <x:c r="B654" s="17" t="n">
        <x:v>46204</x:v>
      </x:c>
      <x:c r="C654" t="str">
        <x:v>Ракурс</x:v>
      </x:c>
      <x:c r="D654" s="14" t="n">
        <x:v>0</x:v>
      </x:c>
      <x:c r="E654" s="20" t="n">
        <x:v>0</x:v>
      </x:c>
      <x:c r="F654" s="20" t="n">
        <x:v>0</x:v>
      </x:c>
      <x:c r="G654" s="20" t="n">
        <x:v>0</x:v>
      </x:c>
      <x:c r="H654" s="20" t="n">
        <x:f>E654-G654</x:f>
        <x:v>0</x:v>
      </x:c>
    </x:row>
    <x:row r="655">
      <x:c r="A655" t="str">
        <x:v>62589</x:v>
      </x:c>
      <x:c r="B655" s="17" t="n">
        <x:v>46235</x:v>
      </x:c>
      <x:c r="C655" t="str">
        <x:v>Ракурс</x:v>
      </x:c>
      <x:c r="D655" s="14" t="n">
        <x:v>0</x:v>
      </x:c>
      <x:c r="E655" s="20" t="n">
        <x:v>0</x:v>
      </x:c>
      <x:c r="F655" s="20" t="n">
        <x:v>0</x:v>
      </x:c>
      <x:c r="G655" s="20" t="n">
        <x:v>0</x:v>
      </x:c>
      <x:c r="H655" s="20" t="n">
        <x:f>E655-G655</x:f>
        <x:v>0</x:v>
      </x:c>
    </x:row>
    <x:row r="656">
      <x:c r="A656" t="str">
        <x:v>62589</x:v>
      </x:c>
      <x:c r="B656" s="17" t="n">
        <x:v>46266</x:v>
      </x:c>
      <x:c r="C656" t="str">
        <x:v>Ракурс</x:v>
      </x:c>
      <x:c r="D656" s="14" t="n">
        <x:v>0</x:v>
      </x:c>
      <x:c r="E656" s="20" t="n">
        <x:v>0</x:v>
      </x:c>
      <x:c r="F656" s="20" t="n">
        <x:v>0</x:v>
      </x:c>
      <x:c r="G656" s="20" t="n">
        <x:v>0</x:v>
      </x:c>
      <x:c r="H656" s="20" t="n">
        <x:f>E656-G656</x:f>
        <x:v>0</x:v>
      </x:c>
    </x:row>
    <x:row r="657">
      <x:c r="A657" t="str">
        <x:v>63448</x:v>
      </x:c>
      <x:c r="B657" s="17" t="n">
        <x:v>45627</x:v>
      </x:c>
      <x:c r="C657" t="str">
        <x:v>Саларьево Парк</x:v>
      </x:c>
      <x:c r="D657" s="14" t="n">
        <x:v>646</x:v>
      </x:c>
      <x:c r="E657" s="20" t="n">
        <x:v>23067.3</x:v>
      </x:c>
      <x:c r="F657" s="20" t="n">
        <x:v>5838436280</x:v>
      </x:c>
      <x:c r="G657" s="20" t="n">
        <x:v>0</x:v>
      </x:c>
      <x:c r="H657" s="20" t="n">
        <x:f>E657-G657</x:f>
        <x:v>23067.3</x:v>
      </x:c>
    </x:row>
    <x:row r="658">
      <x:c r="A658" t="str">
        <x:v>63448</x:v>
      </x:c>
      <x:c r="B658" s="17" t="n">
        <x:v>45658</x:v>
      </x:c>
      <x:c r="C658" t="str">
        <x:v>Саларьево Парк</x:v>
      </x:c>
      <x:c r="D658" s="14" t="n">
        <x:v>36</x:v>
      </x:c>
      <x:c r="E658" s="20" t="n">
        <x:v>1092.1</x:v>
      </x:c>
      <x:c r="F658" s="20" t="n">
        <x:v>360450603.4</x:v>
      </x:c>
      <x:c r="G658" s="20" t="n">
        <x:v>35.1</x:v>
      </x:c>
      <x:c r="H658" s="20" t="n">
        <x:f>E658-G658</x:f>
        <x:v>1057</x:v>
      </x:c>
    </x:row>
    <x:row r="659">
      <x:c r="A659" t="str">
        <x:v>63448</x:v>
      </x:c>
      <x:c r="B659" s="17" t="n">
        <x:v>45689</x:v>
      </x:c>
      <x:c r="C659" t="str">
        <x:v>Саларьево Парк</x:v>
      </x:c>
      <x:c r="D659" s="14" t="n">
        <x:v>38</x:v>
      </x:c>
      <x:c r="E659" s="20" t="n">
        <x:v>1433.8</x:v>
      </x:c>
      <x:c r="F659" s="20" t="n">
        <x:v>472868793.4</x:v>
      </x:c>
      <x:c r="G659" s="20" t="n">
        <x:v>0</x:v>
      </x:c>
      <x:c r="H659" s="20" t="n">
        <x:f>E659-G659</x:f>
        <x:v>1433.8</x:v>
      </x:c>
    </x:row>
    <x:row r="660">
      <x:c r="A660" t="str">
        <x:v>63448</x:v>
      </x:c>
      <x:c r="B660" s="17" t="n">
        <x:v>45717</x:v>
      </x:c>
      <x:c r="C660" t="str">
        <x:v>Саларьево Парк</x:v>
      </x:c>
      <x:c r="D660" s="14" t="n">
        <x:v>37</x:v>
      </x:c>
      <x:c r="E660" s="20" t="n">
        <x:v>1163.2</x:v>
      </x:c>
      <x:c r="F660" s="20" t="n">
        <x:v>402911106.3</x:v>
      </x:c>
      <x:c r="G660" s="20" t="n">
        <x:v>0</x:v>
      </x:c>
      <x:c r="H660" s="20" t="n">
        <x:f>E660-G660</x:f>
        <x:v>1163.2</x:v>
      </x:c>
    </x:row>
    <x:row r="661">
      <x:c r="A661" t="str">
        <x:v>63448</x:v>
      </x:c>
      <x:c r="B661" s="17" t="n">
        <x:v>45748</x:v>
      </x:c>
      <x:c r="C661" t="str">
        <x:v>Саларьево Парк</x:v>
      </x:c>
      <x:c r="D661" s="14" t="n">
        <x:v>60</x:v>
      </x:c>
      <x:c r="E661" s="20" t="n">
        <x:v>2287.2</x:v>
      </x:c>
      <x:c r="F661" s="20" t="n">
        <x:v>760395408.7</x:v>
      </x:c>
      <x:c r="G661" s="20" t="n">
        <x:v>0</x:v>
      </x:c>
      <x:c r="H661" s="20" t="n">
        <x:f>E661-G661</x:f>
        <x:v>2287.2</x:v>
      </x:c>
    </x:row>
    <x:row r="662">
      <x:c r="A662" t="str">
        <x:v>63448</x:v>
      </x:c>
      <x:c r="B662" s="17" t="n">
        <x:v>45778</x:v>
      </x:c>
      <x:c r="C662" t="str">
        <x:v>Саларьево Парк</x:v>
      </x:c>
      <x:c r="D662" s="14" t="n">
        <x:v>64</x:v>
      </x:c>
      <x:c r="E662" s="20" t="n">
        <x:v>2644.6</x:v>
      </x:c>
      <x:c r="F662" s="20" t="n">
        <x:v>855081443.1</x:v>
      </x:c>
      <x:c r="G662" s="20" t="n">
        <x:v>0</x:v>
      </x:c>
      <x:c r="H662" s="20" t="n">
        <x:f>E662-G662</x:f>
        <x:v>2644.6</x:v>
      </x:c>
    </x:row>
    <x:row r="663">
      <x:c r="A663" t="str">
        <x:v>63448</x:v>
      </x:c>
      <x:c r="B663" s="17" t="n">
        <x:v>45809</x:v>
      </x:c>
      <x:c r="C663" t="str">
        <x:v>Саларьево Парк</x:v>
      </x:c>
      <x:c r="D663" s="14" t="n">
        <x:v>40</x:v>
      </x:c>
      <x:c r="E663" s="20" t="n">
        <x:v>1713</x:v>
      </x:c>
      <x:c r="F663" s="20" t="n">
        <x:v>558187311.2</x:v>
      </x:c>
      <x:c r="G663" s="20" t="n">
        <x:v>0</x:v>
      </x:c>
      <x:c r="H663" s="20" t="n">
        <x:f>E663-G663</x:f>
        <x:v>1713</x:v>
      </x:c>
    </x:row>
    <x:row r="664">
      <x:c r="A664" t="str">
        <x:v>63448</x:v>
      </x:c>
      <x:c r="B664" s="17" t="n">
        <x:v>45839</x:v>
      </x:c>
      <x:c r="C664" t="str">
        <x:v>Саларьево Парк</x:v>
      </x:c>
      <x:c r="D664" s="14" t="n">
        <x:v>72</x:v>
      </x:c>
      <x:c r="E664" s="20" t="n">
        <x:v>2775.8</x:v>
      </x:c>
      <x:c r="F664" s="20" t="n">
        <x:v>923073733.1</x:v>
      </x:c>
      <x:c r="G664" s="20" t="n">
        <x:v>0</x:v>
      </x:c>
      <x:c r="H664" s="20" t="n">
        <x:f>E664-G664</x:f>
        <x:v>2775.8</x:v>
      </x:c>
    </x:row>
    <x:row r="665">
      <x:c r="A665" t="str">
        <x:v>63448</x:v>
      </x:c>
      <x:c r="B665" s="17" t="n">
        <x:v>45870</x:v>
      </x:c>
      <x:c r="C665" t="str">
        <x:v>Саларьево Парк</x:v>
      </x:c>
      <x:c r="D665" s="14" t="n">
        <x:v>50</x:v>
      </x:c>
      <x:c r="E665" s="20" t="n">
        <x:v>2253.2</x:v>
      </x:c>
      <x:c r="F665" s="20" t="n">
        <x:v>733676269.8</x:v>
      </x:c>
      <x:c r="G665" s="20" t="n">
        <x:v>19.8</x:v>
      </x:c>
      <x:c r="H665" s="20" t="n">
        <x:f>E665-G665</x:f>
        <x:v>2233.3999999999996</x:v>
      </x:c>
    </x:row>
    <x:row r="666">
      <x:c r="A666" t="str">
        <x:v>63448</x:v>
      </x:c>
      <x:c r="B666" s="17" t="n">
        <x:v>45901</x:v>
      </x:c>
      <x:c r="C666" t="str">
        <x:v>Саларьево Парк</x:v>
      </x:c>
      <x:c r="D666" s="14" t="n">
        <x:v>5</x:v>
      </x:c>
      <x:c r="E666" s="20" t="n">
        <x:v>201.7</x:v>
      </x:c>
      <x:c r="F666" s="20" t="n">
        <x:v>72905903.6</x:v>
      </x:c>
      <x:c r="G666" s="20" t="n">
        <x:v>0</x:v>
      </x:c>
      <x:c r="H666" s="20" t="n">
        <x:f>E666-G666</x:f>
        <x:v>201.7</x:v>
      </x:c>
    </x:row>
    <x:row r="667">
      <x:c r="A667" t="str">
        <x:v>64340</x:v>
      </x:c>
      <x:c r="B667" s="17" t="n">
        <x:v>45627</x:v>
      </x:c>
      <x:c r="C667" t="str">
        <x:v>Сигнальный 16</x:v>
      </x:c>
      <x:c r="D667" s="14" t="n">
        <x:v>274</x:v>
      </x:c>
      <x:c r="E667" s="20" t="n">
        <x:v>10998.8</x:v>
      </x:c>
      <x:c r="F667" s="20" t="n">
        <x:v>2912000011</x:v>
      </x:c>
      <x:c r="G667" s="20" t="n">
        <x:v>32.2</x:v>
      </x:c>
      <x:c r="H667" s="20" t="n">
        <x:f>E667-G667</x:f>
        <x:v>10966.599999999999</x:v>
      </x:c>
    </x:row>
    <x:row r="668">
      <x:c r="A668" t="str">
        <x:v>64340</x:v>
      </x:c>
      <x:c r="B668" s="17" t="n">
        <x:v>45658</x:v>
      </x:c>
      <x:c r="C668" t="str">
        <x:v>Сигнальный 16</x:v>
      </x:c>
      <x:c r="D668" s="14" t="n">
        <x:v>0</x:v>
      </x:c>
      <x:c r="E668" s="20" t="n">
        <x:v>0</x:v>
      </x:c>
      <x:c r="F668" s="20" t="n">
        <x:v>0</x:v>
      </x:c>
      <x:c r="G668" s="20" t="n">
        <x:v>0</x:v>
      </x:c>
      <x:c r="H668" s="20" t="n">
        <x:f>E668-G668</x:f>
        <x:v>0</x:v>
      </x:c>
    </x:row>
    <x:row r="669">
      <x:c r="A669" t="str">
        <x:v>64340</x:v>
      </x:c>
      <x:c r="B669" s="17" t="n">
        <x:v>45689</x:v>
      </x:c>
      <x:c r="C669" t="str">
        <x:v>Сигнальный 16</x:v>
      </x:c>
      <x:c r="D669" s="14" t="n">
        <x:v>0</x:v>
      </x:c>
      <x:c r="E669" s="20" t="n">
        <x:v>0</x:v>
      </x:c>
      <x:c r="F669" s="20" t="n">
        <x:v>0</x:v>
      </x:c>
      <x:c r="G669" s="20" t="n">
        <x:v>0</x:v>
      </x:c>
      <x:c r="H669" s="20" t="n">
        <x:f>E669-G669</x:f>
        <x:v>0</x:v>
      </x:c>
    </x:row>
    <x:row r="670">
      <x:c r="A670" t="str">
        <x:v>64340</x:v>
      </x:c>
      <x:c r="B670" s="17" t="n">
        <x:v>45717</x:v>
      </x:c>
      <x:c r="C670" t="str">
        <x:v>Сигнальный 16</x:v>
      </x:c>
      <x:c r="D670" s="14" t="n">
        <x:v>0</x:v>
      </x:c>
      <x:c r="E670" s="20" t="n">
        <x:v>0</x:v>
      </x:c>
      <x:c r="F670" s="20" t="n">
        <x:v>0</x:v>
      </x:c>
      <x:c r="G670" s="20" t="n">
        <x:v>0</x:v>
      </x:c>
      <x:c r="H670" s="20" t="n">
        <x:f>E670-G670</x:f>
        <x:v>0</x:v>
      </x:c>
    </x:row>
    <x:row r="671">
      <x:c r="A671" t="str">
        <x:v>64340</x:v>
      </x:c>
      <x:c r="B671" s="17" t="n">
        <x:v>45748</x:v>
      </x:c>
      <x:c r="C671" t="str">
        <x:v>Сигнальный 16</x:v>
      </x:c>
      <x:c r="D671" s="14" t="n">
        <x:v>0</x:v>
      </x:c>
      <x:c r="E671" s="20" t="n">
        <x:v>0</x:v>
      </x:c>
      <x:c r="F671" s="20" t="n">
        <x:v>0</x:v>
      </x:c>
      <x:c r="G671" s="20" t="n">
        <x:v>0</x:v>
      </x:c>
      <x:c r="H671" s="20" t="n">
        <x:f>E671-G671</x:f>
        <x:v>0</x:v>
      </x:c>
    </x:row>
    <x:row r="672">
      <x:c r="A672" t="str">
        <x:v>64340</x:v>
      </x:c>
      <x:c r="B672" s="17" t="n">
        <x:v>45778</x:v>
      </x:c>
      <x:c r="C672" t="str">
        <x:v>Сигнальный 16</x:v>
      </x:c>
      <x:c r="D672" s="14" t="n">
        <x:v>0</x:v>
      </x:c>
      <x:c r="E672" s="20" t="n">
        <x:v>0</x:v>
      </x:c>
      <x:c r="F672" s="20" t="n">
        <x:v>0</x:v>
      </x:c>
      <x:c r="G672" s="20" t="n">
        <x:v>0</x:v>
      </x:c>
      <x:c r="H672" s="20" t="n">
        <x:f>E672-G672</x:f>
        <x:v>0</x:v>
      </x:c>
    </x:row>
    <x:row r="673">
      <x:c r="A673" t="str">
        <x:v>64340</x:v>
      </x:c>
      <x:c r="B673" s="17" t="n">
        <x:v>45809</x:v>
      </x:c>
      <x:c r="C673" t="str">
        <x:v>Сигнальный 16</x:v>
      </x:c>
      <x:c r="D673" s="14" t="n">
        <x:v>0</x:v>
      </x:c>
      <x:c r="E673" s="20" t="n">
        <x:v>0</x:v>
      </x:c>
      <x:c r="F673" s="20" t="n">
        <x:v>0</x:v>
      </x:c>
      <x:c r="G673" s="20" t="n">
        <x:v>0</x:v>
      </x:c>
      <x:c r="H673" s="20" t="n">
        <x:f>E673-G673</x:f>
        <x:v>0</x:v>
      </x:c>
    </x:row>
    <x:row r="674">
      <x:c r="A674" t="str">
        <x:v>64340</x:v>
      </x:c>
      <x:c r="B674" s="17" t="n">
        <x:v>45839</x:v>
      </x:c>
      <x:c r="C674" t="str">
        <x:v>Сигнальный 16</x:v>
      </x:c>
      <x:c r="D674" s="14" t="n">
        <x:v>0</x:v>
      </x:c>
      <x:c r="E674" s="20" t="n">
        <x:v>0</x:v>
      </x:c>
      <x:c r="F674" s="20" t="n">
        <x:v>0</x:v>
      </x:c>
      <x:c r="G674" s="20" t="n">
        <x:v>0</x:v>
      </x:c>
      <x:c r="H674" s="20" t="n">
        <x:f>E674-G674</x:f>
        <x:v>0</x:v>
      </x:c>
    </x:row>
    <x:row r="675">
      <x:c r="A675" t="str">
        <x:v>64340</x:v>
      </x:c>
      <x:c r="B675" s="17" t="n">
        <x:v>45870</x:v>
      </x:c>
      <x:c r="C675" t="str">
        <x:v>Сигнальный 16</x:v>
      </x:c>
      <x:c r="D675" s="14" t="n">
        <x:v>1</x:v>
      </x:c>
      <x:c r="E675" s="20" t="n">
        <x:v>19.8</x:v>
      </x:c>
      <x:c r="F675" s="20" t="n">
        <x:v>9662400</x:v>
      </x:c>
      <x:c r="G675" s="20" t="n">
        <x:v>62.6</x:v>
      </x:c>
      <x:c r="H675" s="20" t="n">
        <x:f>E675-G675</x:f>
        <x:v>-42.8</x:v>
      </x:c>
    </x:row>
    <x:row r="676">
      <x:c r="A676" t="str">
        <x:v>64340</x:v>
      </x:c>
      <x:c r="B676" s="17" t="n">
        <x:v>45901</x:v>
      </x:c>
      <x:c r="C676" t="str">
        <x:v>Сигнальный 16</x:v>
      </x:c>
      <x:c r="D676" s="14" t="n">
        <x:v>38</x:v>
      </x:c>
      <x:c r="E676" s="20" t="n">
        <x:v>1173.9</x:v>
      </x:c>
      <x:c r="F676" s="20" t="n">
        <x:v>503974790.2</x:v>
      </x:c>
      <x:c r="G676" s="20" t="n">
        <x:v>0</x:v>
      </x:c>
      <x:c r="H676" s="20" t="n">
        <x:f>E676-G676</x:f>
        <x:v>1173.9</x:v>
      </x:c>
    </x:row>
    <x:row r="677">
      <x:c r="A677" t="str">
        <x:v>64340</x:v>
      </x:c>
      <x:c r="B677" s="17" t="n">
        <x:v>45931</x:v>
      </x:c>
      <x:c r="C677" t="str">
        <x:v>Сигнальный 16</x:v>
      </x:c>
      <x:c r="D677" s="14" t="n">
        <x:v>24</x:v>
      </x:c>
      <x:c r="E677" s="20" t="n">
        <x:v>923.8</x:v>
      </x:c>
      <x:c r="F677" s="20" t="n">
        <x:v>395605562</x:v>
      </x:c>
      <x:c r="G677" s="20" t="n">
        <x:v>0</x:v>
      </x:c>
      <x:c r="H677" s="20" t="n">
        <x:f>E677-G677</x:f>
        <x:v>923.8</x:v>
      </x:c>
    </x:row>
    <x:row r="678">
      <x:c r="A678" t="str">
        <x:v>64340</x:v>
      </x:c>
      <x:c r="B678" s="17" t="n">
        <x:v>45962</x:v>
      </x:c>
      <x:c r="C678" t="str">
        <x:v>Сигнальный 16</x:v>
      </x:c>
      <x:c r="D678" s="14" t="n">
        <x:v>30</x:v>
      </x:c>
      <x:c r="E678" s="20" t="n">
        <x:v>912.4</x:v>
      </x:c>
      <x:c r="F678" s="20" t="n">
        <x:v>443278637.8</x:v>
      </x:c>
      <x:c r="G678" s="20" t="n">
        <x:v>0</x:v>
      </x:c>
      <x:c r="H678" s="20" t="n">
        <x:f>E678-G678</x:f>
        <x:v>912.4</x:v>
      </x:c>
    </x:row>
    <x:row r="679">
      <x:c r="A679" t="str">
        <x:v>64340</x:v>
      </x:c>
      <x:c r="B679" s="17" t="n">
        <x:v>45992</x:v>
      </x:c>
      <x:c r="C679" t="str">
        <x:v>Сигнальный 16</x:v>
      </x:c>
      <x:c r="D679" s="14" t="n">
        <x:v>11</x:v>
      </x:c>
      <x:c r="E679" s="20" t="n">
        <x:v>433.9</x:v>
      </x:c>
      <x:c r="F679" s="20" t="n">
        <x:v>201435583.3</x:v>
      </x:c>
      <x:c r="G679" s="20" t="n">
        <x:v>0</x:v>
      </x:c>
      <x:c r="H679" s="20" t="n">
        <x:f>E679-G679</x:f>
        <x:v>433.9</x:v>
      </x:c>
    </x:row>
    <x:row r="680">
      <x:c r="A680" t="str">
        <x:v>64340</x:v>
      </x:c>
      <x:c r="B680" s="17" t="n">
        <x:v>46023</x:v>
      </x:c>
      <x:c r="C680" t="str">
        <x:v>Сигнальный 16</x:v>
      </x:c>
      <x:c r="D680" s="14" t="n">
        <x:v>15</x:v>
      </x:c>
      <x:c r="E680" s="20" t="n">
        <x:v>784.2</x:v>
      </x:c>
      <x:c r="F680" s="20" t="n">
        <x:v>317097484.1</x:v>
      </x:c>
      <x:c r="G680" s="20" t="n">
        <x:v>0</x:v>
      </x:c>
      <x:c r="H680" s="20" t="n">
        <x:f>E680-G680</x:f>
        <x:v>784.2</x:v>
      </x:c>
    </x:row>
    <x:row r="681">
      <x:c r="A681" t="str">
        <x:v>64340</x:v>
      </x:c>
      <x:c r="B681" s="17" t="n">
        <x:v>46054</x:v>
      </x:c>
      <x:c r="C681" t="str">
        <x:v>Сигнальный 16</x:v>
      </x:c>
      <x:c r="D681" s="14" t="n">
        <x:v>9</x:v>
      </x:c>
      <x:c r="E681" s="20" t="n">
        <x:v>446.5</x:v>
      </x:c>
      <x:c r="F681" s="20" t="n">
        <x:v>183981733.9</x:v>
      </x:c>
      <x:c r="G681" s="20" t="n">
        <x:v>0</x:v>
      </x:c>
      <x:c r="H681" s="20" t="n">
        <x:f>E681-G681</x:f>
        <x:v>446.5</x:v>
      </x:c>
    </x:row>
    <x:row r="682">
      <x:c r="A682" t="str">
        <x:v>64340</x:v>
      </x:c>
      <x:c r="B682" s="17" t="n">
        <x:v>46082</x:v>
      </x:c>
      <x:c r="C682" t="str">
        <x:v>Сигнальный 16</x:v>
      </x:c>
      <x:c r="D682" s="14" t="n">
        <x:v>16</x:v>
      </x:c>
      <x:c r="E682" s="20" t="n">
        <x:v>807.2</x:v>
      </x:c>
      <x:c r="F682" s="20" t="n">
        <x:v>319643421.9</x:v>
      </x:c>
      <x:c r="G682" s="20" t="n">
        <x:v>0</x:v>
      </x:c>
      <x:c r="H682" s="20" t="n">
        <x:f>E682-G682</x:f>
        <x:v>807.2</x:v>
      </x:c>
    </x:row>
    <x:row r="683">
      <x:c r="A683" t="str">
        <x:v>64340</x:v>
      </x:c>
      <x:c r="B683" s="17" t="n">
        <x:v>46113</x:v>
      </x:c>
      <x:c r="C683" t="str">
        <x:v>Сигнальный 16</x:v>
      </x:c>
      <x:c r="D683" s="14" t="n">
        <x:v>12</x:v>
      </x:c>
      <x:c r="E683" s="20" t="n">
        <x:v>488</x:v>
      </x:c>
      <x:c r="F683" s="20" t="n">
        <x:v>221431830.8</x:v>
      </x:c>
      <x:c r="G683" s="20" t="n">
        <x:v>0</x:v>
      </x:c>
      <x:c r="H683" s="20" t="n">
        <x:f>E683-G683</x:f>
        <x:v>488</x:v>
      </x:c>
    </x:row>
    <x:row r="684">
      <x:c r="A684" t="str">
        <x:v>64340</x:v>
      </x:c>
      <x:c r="B684" s="17" t="n">
        <x:v>46143</x:v>
      </x:c>
      <x:c r="C684" t="str">
        <x:v>Сигнальный 16</x:v>
      </x:c>
      <x:c r="D684" s="14" t="n">
        <x:v>17</x:v>
      </x:c>
      <x:c r="E684" s="20" t="n">
        <x:v>691.5</x:v>
      </x:c>
      <x:c r="F684" s="20" t="n">
        <x:v>319051226.4</x:v>
      </x:c>
      <x:c r="G684" s="20" t="n">
        <x:v>0</x:v>
      </x:c>
      <x:c r="H684" s="20" t="n">
        <x:f>E684-G684</x:f>
        <x:v>691.5</x:v>
      </x:c>
    </x:row>
    <x:row r="685">
      <x:c r="A685" t="str">
        <x:v>64340</x:v>
      </x:c>
      <x:c r="B685" s="17" t="n">
        <x:v>46174</x:v>
      </x:c>
      <x:c r="C685" t="str">
        <x:v>Сигнальный 16</x:v>
      </x:c>
      <x:c r="D685" s="14" t="n">
        <x:v>12</x:v>
      </x:c>
      <x:c r="E685" s="20" t="n">
        <x:v>628.4</x:v>
      </x:c>
      <x:c r="F685" s="20" t="n">
        <x:v>271550358.7</x:v>
      </x:c>
      <x:c r="G685" s="20" t="n">
        <x:v>0</x:v>
      </x:c>
      <x:c r="H685" s="20" t="n">
        <x:f>E685-G685</x:f>
        <x:v>628.4</x:v>
      </x:c>
    </x:row>
    <x:row r="686">
      <x:c r="A686" t="str">
        <x:v>64340</x:v>
      </x:c>
      <x:c r="B686" s="17" t="n">
        <x:v>46204</x:v>
      </x:c>
      <x:c r="C686" t="str">
        <x:v>Сигнальный 16</x:v>
      </x:c>
      <x:c r="D686" s="14" t="n">
        <x:v>8</x:v>
      </x:c>
      <x:c r="E686" s="20" t="n">
        <x:v>412.61</x:v>
      </x:c>
      <x:c r="F686" s="20" t="n">
        <x:v>176405523.7</x:v>
      </x:c>
      <x:c r="G686" s="20" t="n">
        <x:v>0</x:v>
      </x:c>
      <x:c r="H686" s="20" t="n">
        <x:f>E686-G686</x:f>
        <x:v>412.61</x:v>
      </x:c>
    </x:row>
    <x:row r="687">
      <x:c r="A687" t="str">
        <x:v>64340</x:v>
      </x:c>
      <x:c r="B687" s="17" t="n">
        <x:v>46235</x:v>
      </x:c>
      <x:c r="C687" t="str">
        <x:v>Сигнальный 16</x:v>
      </x:c>
      <x:c r="D687" s="14" t="n">
        <x:v>13</x:v>
      </x:c>
      <x:c r="E687" s="20" t="n">
        <x:v>535.2</x:v>
      </x:c>
      <x:c r="F687" s="20" t="n">
        <x:v>254242516.2</x:v>
      </x:c>
      <x:c r="G687" s="20" t="n">
        <x:v>0</x:v>
      </x:c>
      <x:c r="H687" s="20" t="n">
        <x:f>E687-G687</x:f>
        <x:v>535.2</x:v>
      </x:c>
    </x:row>
    <x:row r="688">
      <x:c r="A688" t="str">
        <x:v>64340</x:v>
      </x:c>
      <x:c r="B688" s="17" t="n">
        <x:v>46266</x:v>
      </x:c>
      <x:c r="C688" t="str">
        <x:v>Сигнальный 16</x:v>
      </x:c>
      <x:c r="D688" s="14" t="n">
        <x:v>8</x:v>
      </x:c>
      <x:c r="E688" s="20" t="n">
        <x:v>418.9</x:v>
      </x:c>
      <x:c r="F688" s="20" t="n">
        <x:v>185953999.4</x:v>
      </x:c>
      <x:c r="G688" s="20" t="n">
        <x:v>0</x:v>
      </x:c>
      <x:c r="H688" s="20" t="n">
        <x:f>E688-G688</x:f>
        <x:v>418.9</x:v>
      </x:c>
    </x:row>
    <x:row r="689">
      <x:c r="A689" t="str">
        <x:v>65337</x:v>
      </x:c>
      <x:c r="B689" s="17" t="n">
        <x:v>45870</x:v>
      </x:c>
      <x:c r="C689" t="str">
        <x:v>Солос</x:v>
      </x:c>
      <x:c r="D689" s="14" t="n">
        <x:v>355</x:v>
      </x:c>
      <x:c r="E689" s="20" t="n">
        <x:v>21453.8</x:v>
      </x:c>
      <x:c r="F689" s="20" t="n">
        <x:v>3458698180.44</x:v>
      </x:c>
      <x:c r="G689" s="20" t="n">
        <x:v>0</x:v>
      </x:c>
      <x:c r="H689" s="20" t="n">
        <x:f>E689-G689</x:f>
        <x:v>21453.8</x:v>
      </x:c>
    </x:row>
    <x:row r="690">
      <x:c r="A690" t="str">
        <x:v>65337</x:v>
      </x:c>
      <x:c r="B690" s="17" t="n">
        <x:v>45901</x:v>
      </x:c>
      <x:c r="C690" t="str">
        <x:v>Солос</x:v>
      </x:c>
      <x:c r="D690" s="14" t="n">
        <x:v>0</x:v>
      </x:c>
      <x:c r="E690" s="20" t="n">
        <x:v>0</x:v>
      </x:c>
      <x:c r="F690" s="20" t="n">
        <x:v>0</x:v>
      </x:c>
      <x:c r="G690" s="20" t="n">
        <x:v>0</x:v>
      </x:c>
      <x:c r="H690" s="20" t="n">
        <x:f>E690-G690</x:f>
        <x:v>0</x:v>
      </x:c>
    </x:row>
    <x:row r="691">
      <x:c r="A691" t="str">
        <x:v>65337</x:v>
      </x:c>
      <x:c r="B691" s="17" t="n">
        <x:v>45931</x:v>
      </x:c>
      <x:c r="C691" t="str">
        <x:v>Солос</x:v>
      </x:c>
      <x:c r="D691" s="14" t="n">
        <x:v>0</x:v>
      </x:c>
      <x:c r="E691" s="20" t="n">
        <x:v>0</x:v>
      </x:c>
      <x:c r="F691" s="20" t="n">
        <x:v>0</x:v>
      </x:c>
      <x:c r="G691" s="20" t="n">
        <x:v>0</x:v>
      </x:c>
      <x:c r="H691" s="20" t="n">
        <x:f>E691-G691</x:f>
        <x:v>0</x:v>
      </x:c>
    </x:row>
    <x:row r="692">
      <x:c r="A692" t="str">
        <x:v>65337</x:v>
      </x:c>
      <x:c r="B692" s="17" t="n">
        <x:v>45962</x:v>
      </x:c>
      <x:c r="C692" t="str">
        <x:v>Солос</x:v>
      </x:c>
      <x:c r="D692" s="14" t="n">
        <x:v>0</x:v>
      </x:c>
      <x:c r="E692" s="20" t="n">
        <x:v>0</x:v>
      </x:c>
      <x:c r="F692" s="20" t="n">
        <x:v>0</x:v>
      </x:c>
      <x:c r="G692" s="20" t="n">
        <x:v>0</x:v>
      </x:c>
      <x:c r="H692" s="20" t="n">
        <x:f>E692-G692</x:f>
        <x:v>0</x:v>
      </x:c>
    </x:row>
    <x:row r="693">
      <x:c r="A693" t="str">
        <x:v>65337</x:v>
      </x:c>
      <x:c r="B693" s="17" t="n">
        <x:v>45992</x:v>
      </x:c>
      <x:c r="C693" t="str">
        <x:v>Солос</x:v>
      </x:c>
      <x:c r="D693" s="14" t="n">
        <x:v>0</x:v>
      </x:c>
      <x:c r="E693" s="20" t="n">
        <x:v>0</x:v>
      </x:c>
      <x:c r="F693" s="20" t="n">
        <x:v>0</x:v>
      </x:c>
      <x:c r="G693" s="20" t="n">
        <x:v>0</x:v>
      </x:c>
      <x:c r="H693" s="20" t="n">
        <x:f>E693-G693</x:f>
        <x:v>0</x:v>
      </x:c>
    </x:row>
    <x:row r="694">
      <x:c r="A694" t="str">
        <x:v>65337</x:v>
      </x:c>
      <x:c r="B694" s="17" t="n">
        <x:v>46023</x:v>
      </x:c>
      <x:c r="C694" t="str">
        <x:v>Солос</x:v>
      </x:c>
      <x:c r="D694" s="14" t="n">
        <x:v>0</x:v>
      </x:c>
      <x:c r="E694" s="20" t="n">
        <x:v>0</x:v>
      </x:c>
      <x:c r="F694" s="20" t="n">
        <x:v>0</x:v>
      </x:c>
      <x:c r="G694" s="20" t="n">
        <x:v>0</x:v>
      </x:c>
      <x:c r="H694" s="20" t="n">
        <x:f>E694-G694</x:f>
        <x:v>0</x:v>
      </x:c>
    </x:row>
    <x:row r="695">
      <x:c r="A695" t="str">
        <x:v>65337</x:v>
      </x:c>
      <x:c r="B695" s="17" t="n">
        <x:v>46054</x:v>
      </x:c>
      <x:c r="C695" t="str">
        <x:v>Солос</x:v>
      </x:c>
      <x:c r="D695" s="14" t="n">
        <x:v>0</x:v>
      </x:c>
      <x:c r="E695" s="20" t="n">
        <x:v>0</x:v>
      </x:c>
      <x:c r="F695" s="20" t="n">
        <x:v>0</x:v>
      </x:c>
      <x:c r="G695" s="20" t="n">
        <x:v>0</x:v>
      </x:c>
      <x:c r="H695" s="20" t="n">
        <x:f>E695-G695</x:f>
        <x:v>0</x:v>
      </x:c>
    </x:row>
    <x:row r="696">
      <x:c r="A696" t="str">
        <x:v>65337</x:v>
      </x:c>
      <x:c r="B696" s="17" t="n">
        <x:v>46082</x:v>
      </x:c>
      <x:c r="C696" t="str">
        <x:v>Солос</x:v>
      </x:c>
      <x:c r="D696" s="14" t="n">
        <x:v>0</x:v>
      </x:c>
      <x:c r="E696" s="20" t="n">
        <x:v>0</x:v>
      </x:c>
      <x:c r="F696" s="20" t="n">
        <x:v>0</x:v>
      </x:c>
      <x:c r="G696" s="20" t="n">
        <x:v>0</x:v>
      </x:c>
      <x:c r="H696" s="20" t="n">
        <x:f>E696-G696</x:f>
        <x:v>0</x:v>
      </x:c>
    </x:row>
    <x:row r="697">
      <x:c r="A697" t="str">
        <x:v>65337</x:v>
      </x:c>
      <x:c r="B697" s="17" t="n">
        <x:v>46113</x:v>
      </x:c>
      <x:c r="C697" t="str">
        <x:v>Солос</x:v>
      </x:c>
      <x:c r="D697" s="14" t="n">
        <x:v>0</x:v>
      </x:c>
      <x:c r="E697" s="20" t="n">
        <x:v>0</x:v>
      </x:c>
      <x:c r="F697" s="20" t="n">
        <x:v>0</x:v>
      </x:c>
      <x:c r="G697" s="20" t="n">
        <x:v>0</x:v>
      </x:c>
      <x:c r="H697" s="20" t="n">
        <x:f>E697-G697</x:f>
        <x:v>0</x:v>
      </x:c>
    </x:row>
    <x:row r="698">
      <x:c r="A698" t="str">
        <x:v>65337</x:v>
      </x:c>
      <x:c r="B698" s="17" t="n">
        <x:v>46143</x:v>
      </x:c>
      <x:c r="C698" t="str">
        <x:v>Солос</x:v>
      </x:c>
      <x:c r="D698" s="14" t="n">
        <x:v>0</x:v>
      </x:c>
      <x:c r="E698" s="20" t="n">
        <x:v>0</x:v>
      </x:c>
      <x:c r="F698" s="20" t="n">
        <x:v>0</x:v>
      </x:c>
      <x:c r="G698" s="20" t="n">
        <x:v>0</x:v>
      </x:c>
      <x:c r="H698" s="20" t="n">
        <x:f>E698-G698</x:f>
        <x:v>0</x:v>
      </x:c>
    </x:row>
    <x:row r="699">
      <x:c r="A699" t="str">
        <x:v>65337</x:v>
      </x:c>
      <x:c r="B699" s="17" t="n">
        <x:v>46174</x:v>
      </x:c>
      <x:c r="C699" t="str">
        <x:v>Солос</x:v>
      </x:c>
      <x:c r="D699" s="14" t="n">
        <x:v>0</x:v>
      </x:c>
      <x:c r="E699" s="20" t="n">
        <x:v>0</x:v>
      </x:c>
      <x:c r="F699" s="20" t="n">
        <x:v>0</x:v>
      </x:c>
      <x:c r="G699" s="20" t="n">
        <x:v>0</x:v>
      </x:c>
      <x:c r="H699" s="20" t="n">
        <x:f>E699-G699</x:f>
        <x:v>0</x:v>
      </x:c>
    </x:row>
    <x:row r="700">
      <x:c r="A700" t="str">
        <x:v>65337</x:v>
      </x:c>
      <x:c r="B700" s="17" t="n">
        <x:v>46204</x:v>
      </x:c>
      <x:c r="C700" t="str">
        <x:v>Солос</x:v>
      </x:c>
      <x:c r="D700" s="14" t="n">
        <x:v>0</x:v>
      </x:c>
      <x:c r="E700" s="20" t="n">
        <x:v>0</x:v>
      </x:c>
      <x:c r="F700" s="20" t="n">
        <x:v>0</x:v>
      </x:c>
      <x:c r="G700" s="20" t="n">
        <x:v>0</x:v>
      </x:c>
      <x:c r="H700" s="20" t="n">
        <x:f>E700-G700</x:f>
        <x:v>0</x:v>
      </x:c>
    </x:row>
    <x:row r="701">
      <x:c r="A701" t="str">
        <x:v>65337</x:v>
      </x:c>
      <x:c r="B701" s="17" t="n">
        <x:v>46235</x:v>
      </x:c>
      <x:c r="C701" t="str">
        <x:v>Солос</x:v>
      </x:c>
      <x:c r="D701" s="14" t="n">
        <x:v>0</x:v>
      </x:c>
      <x:c r="E701" s="20" t="n">
        <x:v>0</x:v>
      </x:c>
      <x:c r="F701" s="20" t="n">
        <x:v>0</x:v>
      </x:c>
      <x:c r="G701" s="20" t="n">
        <x:v>0</x:v>
      </x:c>
      <x:c r="H701" s="20" t="n">
        <x:f>E701-G701</x:f>
        <x:v>0</x:v>
      </x:c>
    </x:row>
    <x:row r="702">
      <x:c r="A702" t="str">
        <x:v>65337</x:v>
      </x:c>
      <x:c r="B702" s="17" t="n">
        <x:v>46266</x:v>
      </x:c>
      <x:c r="C702" t="str">
        <x:v>Солос</x:v>
      </x:c>
      <x:c r="D702" s="14" t="n">
        <x:v>0</x:v>
      </x:c>
      <x:c r="E702" s="20" t="n">
        <x:v>0</x:v>
      </x:c>
      <x:c r="F702" s="20" t="n">
        <x:v>0</x:v>
      </x:c>
      <x:c r="G702" s="20" t="n">
        <x:v>0</x:v>
      </x:c>
      <x:c r="H702" s="20" t="n">
        <x:f>E702-G702</x:f>
        <x:v>0</x:v>
      </x:c>
    </x:row>
    <x:row r="703">
      <x:c r="A703" t="str">
        <x:v>66443</x:v>
      </x:c>
      <x:c r="B703" s="17" t="n">
        <x:v>45962</x:v>
      </x:c>
      <x:c r="C703" t="str">
        <x:v>Одесская</x:v>
      </x:c>
      <x:c r="D703" s="14" t="n">
        <x:v>294</x:v>
      </x:c>
      <x:c r="E703" s="20" t="n">
        <x:v>18164.85</x:v>
      </x:c>
      <x:c r="F703" s="20" t="n">
        <x:v>3599084850.86</x:v>
      </x:c>
      <x:c r="G703" s="20" t="n">
        <x:v>0</x:v>
      </x:c>
      <x:c r="H703" s="20" t="n">
        <x:f>E703-G703</x:f>
        <x:v>18164.85</x:v>
      </x:c>
    </x:row>
    <x:row r="704">
      <x:c r="A704" t="str">
        <x:v>66443</x:v>
      </x:c>
      <x:c r="B704" s="17" t="n">
        <x:v>45992</x:v>
      </x:c>
      <x:c r="C704" t="str">
        <x:v>Одесская</x:v>
      </x:c>
      <x:c r="D704" s="14" t="n">
        <x:v>0</x:v>
      </x:c>
      <x:c r="E704" s="20" t="n">
        <x:v>0</x:v>
      </x:c>
      <x:c r="F704" s="20" t="n">
        <x:v>0</x:v>
      </x:c>
      <x:c r="G704" s="20" t="n">
        <x:v>0</x:v>
      </x:c>
      <x:c r="H704" s="20" t="n">
        <x:f>E704-G704</x:f>
        <x:v>0</x:v>
      </x:c>
    </x:row>
    <x:row r="705">
      <x:c r="A705" t="str">
        <x:v>66443</x:v>
      </x:c>
      <x:c r="B705" s="17" t="n">
        <x:v>46023</x:v>
      </x:c>
      <x:c r="C705" t="str">
        <x:v>Одесская</x:v>
      </x:c>
      <x:c r="D705" s="14" t="n">
        <x:v>0</x:v>
      </x:c>
      <x:c r="E705" s="20" t="n">
        <x:v>0</x:v>
      </x:c>
      <x:c r="F705" s="20" t="n">
        <x:v>0</x:v>
      </x:c>
      <x:c r="G705" s="20" t="n">
        <x:v>0</x:v>
      </x:c>
      <x:c r="H705" s="20" t="n">
        <x:f>E705-G705</x:f>
        <x:v>0</x:v>
      </x:c>
    </x:row>
    <x:row r="706">
      <x:c r="A706" t="str">
        <x:v>66443</x:v>
      </x:c>
      <x:c r="B706" s="17" t="n">
        <x:v>46054</x:v>
      </x:c>
      <x:c r="C706" t="str">
        <x:v>Одесская</x:v>
      </x:c>
      <x:c r="D706" s="14" t="n">
        <x:v>0</x:v>
      </x:c>
      <x:c r="E706" s="20" t="n">
        <x:v>0</x:v>
      </x:c>
      <x:c r="F706" s="20" t="n">
        <x:v>0</x:v>
      </x:c>
      <x:c r="G706" s="20" t="n">
        <x:v>0</x:v>
      </x:c>
      <x:c r="H706" s="20" t="n">
        <x:f>E706-G706</x:f>
        <x:v>0</x:v>
      </x:c>
    </x:row>
    <x:row r="707">
      <x:c r="A707" t="str">
        <x:v>66443</x:v>
      </x:c>
      <x:c r="B707" s="17" t="n">
        <x:v>46082</x:v>
      </x:c>
      <x:c r="C707" t="str">
        <x:v>Одесская</x:v>
      </x:c>
      <x:c r="D707" s="14" t="n">
        <x:v>0</x:v>
      </x:c>
      <x:c r="E707" s="20" t="n">
        <x:v>0</x:v>
      </x:c>
      <x:c r="F707" s="20" t="n">
        <x:v>0</x:v>
      </x:c>
      <x:c r="G707" s="20" t="n">
        <x:v>0</x:v>
      </x:c>
      <x:c r="H707" s="20" t="n">
        <x:f>E707-G707</x:f>
        <x:v>0</x:v>
      </x:c>
    </x:row>
    <x:row r="708">
      <x:c r="A708" t="str">
        <x:v>66443</x:v>
      </x:c>
      <x:c r="B708" s="17" t="n">
        <x:v>46113</x:v>
      </x:c>
      <x:c r="C708" t="str">
        <x:v>Одесская</x:v>
      </x:c>
      <x:c r="D708" s="14" t="n">
        <x:v>0</x:v>
      </x:c>
      <x:c r="E708" s="20" t="n">
        <x:v>0</x:v>
      </x:c>
      <x:c r="F708" s="20" t="n">
        <x:v>0</x:v>
      </x:c>
      <x:c r="G708" s="20" t="n">
        <x:v>0</x:v>
      </x:c>
      <x:c r="H708" s="20" t="n">
        <x:f>E708-G708</x:f>
        <x:v>0</x:v>
      </x:c>
    </x:row>
    <x:row r="709">
      <x:c r="A709" t="str">
        <x:v>66443</x:v>
      </x:c>
      <x:c r="B709" s="17" t="n">
        <x:v>46143</x:v>
      </x:c>
      <x:c r="C709" t="str">
        <x:v>Одесская</x:v>
      </x:c>
      <x:c r="D709" s="14" t="n">
        <x:v>0</x:v>
      </x:c>
      <x:c r="E709" s="20" t="n">
        <x:v>0</x:v>
      </x:c>
      <x:c r="F709" s="20" t="n">
        <x:v>290424993.15</x:v>
      </x:c>
      <x:c r="G709" s="20" t="n">
        <x:v>0</x:v>
      </x:c>
      <x:c r="H709" s="20" t="n">
        <x:f>E709-G709</x:f>
        <x:v>0</x:v>
      </x:c>
    </x:row>
    <x:row r="710">
      <x:c r="A710" t="str">
        <x:v>66443</x:v>
      </x:c>
      <x:c r="B710" s="17" t="n">
        <x:v>46174</x:v>
      </x:c>
      <x:c r="C710" t="str">
        <x:v>Одесская</x:v>
      </x:c>
      <x:c r="D710" s="14" t="n">
        <x:v>0</x:v>
      </x:c>
      <x:c r="E710" s="20" t="n">
        <x:v>0</x:v>
      </x:c>
      <x:c r="F710" s="20" t="n">
        <x:v>0</x:v>
      </x:c>
      <x:c r="G710" s="20" t="n">
        <x:v>0</x:v>
      </x:c>
      <x:c r="H710" s="20" t="n">
        <x:f>E710-G710</x:f>
        <x:v>0</x:v>
      </x:c>
    </x:row>
    <x:row r="711">
      <x:c r="A711" t="str">
        <x:v>66443</x:v>
      </x:c>
      <x:c r="B711" s="17" t="n">
        <x:v>46204</x:v>
      </x:c>
      <x:c r="C711" t="str">
        <x:v>Одесская</x:v>
      </x:c>
      <x:c r="D711" s="14" t="n">
        <x:v>0</x:v>
      </x:c>
      <x:c r="E711" s="20" t="n">
        <x:v>0</x:v>
      </x:c>
      <x:c r="F711" s="20" t="n">
        <x:v>0</x:v>
      </x:c>
      <x:c r="G711" s="20" t="n">
        <x:v>0</x:v>
      </x:c>
      <x:c r="H711" s="20" t="n">
        <x:f>E711-G711</x:f>
        <x:v>0</x:v>
      </x:c>
    </x:row>
    <x:row r="712">
      <x:c r="A712" t="str">
        <x:v>66447</x:v>
      </x:c>
      <x:c r="B712" s="17" t="n">
        <x:v>45962</x:v>
      </x:c>
      <x:c r="C712" t="str">
        <x:v>Одесская</x:v>
      </x:c>
      <x:c r="D712" s="14" t="n">
        <x:v>660</x:v>
      </x:c>
      <x:c r="E712" s="20" t="n">
        <x:v>41076.2</x:v>
      </x:c>
      <x:c r="F712" s="20" t="n">
        <x:v>7508164837.83</x:v>
      </x:c>
      <x:c r="G712" s="20" t="n">
        <x:v>0</x:v>
      </x:c>
      <x:c r="H712" s="20" t="n">
        <x:f>E712-G712</x:f>
        <x:v>41076.2</x:v>
      </x:c>
    </x:row>
    <x:row r="713">
      <x:c r="A713" t="str">
        <x:v>66447</x:v>
      </x:c>
      <x:c r="B713" s="17" t="n">
        <x:v>45992</x:v>
      </x:c>
      <x:c r="C713" t="str">
        <x:v>Одесская</x:v>
      </x:c>
      <x:c r="D713" s="14" t="n">
        <x:v>0</x:v>
      </x:c>
      <x:c r="E713" s="20" t="n">
        <x:v>0</x:v>
      </x:c>
      <x:c r="F713" s="20" t="n">
        <x:v>0</x:v>
      </x:c>
      <x:c r="G713" s="20" t="n">
        <x:v>0</x:v>
      </x:c>
      <x:c r="H713" s="20" t="n">
        <x:f>E713-G713</x:f>
        <x:v>0</x:v>
      </x:c>
    </x:row>
    <x:row r="714">
      <x:c r="A714" t="str">
        <x:v>66447</x:v>
      </x:c>
      <x:c r="B714" s="17" t="n">
        <x:v>46023</x:v>
      </x:c>
      <x:c r="C714" t="str">
        <x:v>Одесская</x:v>
      </x:c>
      <x:c r="D714" s="14" t="n">
        <x:v>0</x:v>
      </x:c>
      <x:c r="E714" s="20" t="n">
        <x:v>0</x:v>
      </x:c>
      <x:c r="F714" s="20" t="n">
        <x:v>0</x:v>
      </x:c>
      <x:c r="G714" s="20" t="n">
        <x:v>0</x:v>
      </x:c>
      <x:c r="H714" s="20" t="n">
        <x:f>E714-G714</x:f>
        <x:v>0</x:v>
      </x:c>
    </x:row>
    <x:row r="715">
      <x:c r="A715" t="str">
        <x:v>66447</x:v>
      </x:c>
      <x:c r="B715" s="17" t="n">
        <x:v>46054</x:v>
      </x:c>
      <x:c r="C715" t="str">
        <x:v>Одесская</x:v>
      </x:c>
      <x:c r="D715" s="14" t="n">
        <x:v>0</x:v>
      </x:c>
      <x:c r="E715" s="20" t="n">
        <x:v>0</x:v>
      </x:c>
      <x:c r="F715" s="20" t="n">
        <x:v>0</x:v>
      </x:c>
      <x:c r="G715" s="20" t="n">
        <x:v>0</x:v>
      </x:c>
      <x:c r="H715" s="20" t="n">
        <x:f>E715-G715</x:f>
        <x:v>0</x:v>
      </x:c>
    </x:row>
    <x:row r="716">
      <x:c r="A716" t="str">
        <x:v>66447</x:v>
      </x:c>
      <x:c r="B716" s="17" t="n">
        <x:v>46082</x:v>
      </x:c>
      <x:c r="C716" t="str">
        <x:v>Одесская</x:v>
      </x:c>
      <x:c r="D716" s="14" t="n">
        <x:v>0</x:v>
      </x:c>
      <x:c r="E716" s="20" t="n">
        <x:v>0</x:v>
      </x:c>
      <x:c r="F716" s="20" t="n">
        <x:v>0</x:v>
      </x:c>
      <x:c r="G716" s="20" t="n">
        <x:v>0</x:v>
      </x:c>
      <x:c r="H716" s="20" t="n">
        <x:f>E716-G716</x:f>
        <x:v>0</x:v>
      </x:c>
    </x:row>
    <x:row r="717">
      <x:c r="A717" t="str">
        <x:v>66447</x:v>
      </x:c>
      <x:c r="B717" s="17" t="n">
        <x:v>46113</x:v>
      </x:c>
      <x:c r="C717" t="str">
        <x:v>Одесская</x:v>
      </x:c>
      <x:c r="D717" s="14" t="n">
        <x:v>0</x:v>
      </x:c>
      <x:c r="E717" s="20" t="n">
        <x:v>0</x:v>
      </x:c>
      <x:c r="F717" s="20" t="n">
        <x:v>0</x:v>
      </x:c>
      <x:c r="G717" s="20" t="n">
        <x:v>0</x:v>
      </x:c>
      <x:c r="H717" s="20" t="n">
        <x:f>E717-G717</x:f>
        <x:v>0</x:v>
      </x:c>
    </x:row>
    <x:row r="718">
      <x:c r="A718" t="str">
        <x:v>66447</x:v>
      </x:c>
      <x:c r="B718" s="17" t="n">
        <x:v>46143</x:v>
      </x:c>
      <x:c r="C718" t="str">
        <x:v>Одесская</x:v>
      </x:c>
      <x:c r="D718" s="14" t="n">
        <x:v>0</x:v>
      </x:c>
      <x:c r="E718" s="20" t="n">
        <x:v>0</x:v>
      </x:c>
      <x:c r="F718" s="20" t="n">
        <x:v>509210309.98</x:v>
      </x:c>
      <x:c r="G718" s="20" t="n">
        <x:v>0</x:v>
      </x:c>
      <x:c r="H718" s="20" t="n">
        <x:f>E718-G718</x:f>
        <x:v>0</x:v>
      </x:c>
    </x:row>
    <x:row r="719">
      <x:c r="A719" t="str">
        <x:v>66447</x:v>
      </x:c>
      <x:c r="B719" s="17" t="n">
        <x:v>46174</x:v>
      </x:c>
      <x:c r="C719" t="str">
        <x:v>Одесская</x:v>
      </x:c>
      <x:c r="D719" s="14" t="n">
        <x:v>0</x:v>
      </x:c>
      <x:c r="E719" s="20" t="n">
        <x:v>0</x:v>
      </x:c>
      <x:c r="F719" s="20" t="n">
        <x:v>0</x:v>
      </x:c>
      <x:c r="G719" s="20" t="n">
        <x:v>0</x:v>
      </x:c>
      <x:c r="H719" s="20" t="n">
        <x:f>E719-G719</x:f>
        <x:v>0</x:v>
      </x:c>
    </x:row>
    <x:row r="720">
      <x:c r="A720" t="str">
        <x:v>66447</x:v>
      </x:c>
      <x:c r="B720" s="17" t="n">
        <x:v>46204</x:v>
      </x:c>
      <x:c r="C720" t="str">
        <x:v>Одесская</x:v>
      </x:c>
      <x:c r="D720" s="14" t="n">
        <x:v>0</x:v>
      </x:c>
      <x:c r="E720" s="20" t="n">
        <x:v>0</x:v>
      </x:c>
      <x:c r="F720" s="20" t="n">
        <x:v>0</x:v>
      </x:c>
      <x:c r="G720" s="20" t="n">
        <x:v>0</x:v>
      </x:c>
      <x:c r="H720" s="20" t="n">
        <x:f>E720-G720</x:f>
        <x:v>0</x:v>
      </x:c>
    </x:row>
    <x:row r="721">
      <x:c r="A721" t="str">
        <x:v>66448</x:v>
      </x:c>
      <x:c r="B721" s="17" t="n">
        <x:v>45931</x:v>
      </x:c>
      <x:c r="C721" t="str">
        <x:v>Одесская</x:v>
      </x:c>
      <x:c r="D721" s="14" t="n">
        <x:v>362</x:v>
      </x:c>
      <x:c r="E721" s="20" t="n">
        <x:v>22299.1</x:v>
      </x:c>
      <x:c r="F721" s="20" t="n">
        <x:v>3806554296.58</x:v>
      </x:c>
      <x:c r="G721" s="20" t="n">
        <x:v>0</x:v>
      </x:c>
      <x:c r="H721" s="20" t="n">
        <x:f>E721-G721</x:f>
        <x:v>22299.1</x:v>
      </x:c>
    </x:row>
    <x:row r="722">
      <x:c r="A722" t="str">
        <x:v>66448</x:v>
      </x:c>
      <x:c r="B722" s="17" t="n">
        <x:v>45962</x:v>
      </x:c>
      <x:c r="C722" t="str">
        <x:v>Одесская</x:v>
      </x:c>
      <x:c r="D722" s="14" t="n">
        <x:v>0</x:v>
      </x:c>
      <x:c r="E722" s="20" t="n">
        <x:v>0</x:v>
      </x:c>
      <x:c r="F722" s="20" t="n">
        <x:v>0</x:v>
      </x:c>
      <x:c r="G722" s="20" t="n">
        <x:v>0</x:v>
      </x:c>
      <x:c r="H722" s="20" t="n">
        <x:f>E722-G722</x:f>
        <x:v>0</x:v>
      </x:c>
    </x:row>
    <x:row r="723">
      <x:c r="A723" t="str">
        <x:v>66448</x:v>
      </x:c>
      <x:c r="B723" s="17" t="n">
        <x:v>45992</x:v>
      </x:c>
      <x:c r="C723" t="str">
        <x:v>Одесская</x:v>
      </x:c>
      <x:c r="D723" s="14" t="n">
        <x:v>0</x:v>
      </x:c>
      <x:c r="E723" s="20" t="n">
        <x:v>0</x:v>
      </x:c>
      <x:c r="F723" s="20" t="n">
        <x:v>0</x:v>
      </x:c>
      <x:c r="G723" s="20" t="n">
        <x:v>0</x:v>
      </x:c>
      <x:c r="H723" s="20" t="n">
        <x:f>E723-G723</x:f>
        <x:v>0</x:v>
      </x:c>
    </x:row>
    <x:row r="724">
      <x:c r="A724" t="str">
        <x:v>66448</x:v>
      </x:c>
      <x:c r="B724" s="17" t="n">
        <x:v>46023</x:v>
      </x:c>
      <x:c r="C724" t="str">
        <x:v>Одесская</x:v>
      </x:c>
      <x:c r="D724" s="14" t="n">
        <x:v>0</x:v>
      </x:c>
      <x:c r="E724" s="20" t="n">
        <x:v>0</x:v>
      </x:c>
      <x:c r="F724" s="20" t="n">
        <x:v>0</x:v>
      </x:c>
      <x:c r="G724" s="20" t="n">
        <x:v>0</x:v>
      </x:c>
      <x:c r="H724" s="20" t="n">
        <x:f>E724-G724</x:f>
        <x:v>0</x:v>
      </x:c>
    </x:row>
    <x:row r="725">
      <x:c r="A725" t="str">
        <x:v>66448</x:v>
      </x:c>
      <x:c r="B725" s="17" t="n">
        <x:v>46054</x:v>
      </x:c>
      <x:c r="C725" t="str">
        <x:v>Одесская</x:v>
      </x:c>
      <x:c r="D725" s="14" t="n">
        <x:v>0</x:v>
      </x:c>
      <x:c r="E725" s="20" t="n">
        <x:v>0</x:v>
      </x:c>
      <x:c r="F725" s="20" t="n">
        <x:v>0</x:v>
      </x:c>
      <x:c r="G725" s="20" t="n">
        <x:v>0</x:v>
      </x:c>
      <x:c r="H725" s="20" t="n">
        <x:f>E725-G725</x:f>
        <x:v>0</x:v>
      </x:c>
    </x:row>
    <x:row r="726">
      <x:c r="A726" t="str">
        <x:v>66448</x:v>
      </x:c>
      <x:c r="B726" s="17" t="n">
        <x:v>46082</x:v>
      </x:c>
      <x:c r="C726" t="str">
        <x:v>Одесская</x:v>
      </x:c>
      <x:c r="D726" s="14" t="n">
        <x:v>0</x:v>
      </x:c>
      <x:c r="E726" s="20" t="n">
        <x:v>0</x:v>
      </x:c>
      <x:c r="F726" s="20" t="n">
        <x:v>0</x:v>
      </x:c>
      <x:c r="G726" s="20" t="n">
        <x:v>0</x:v>
      </x:c>
      <x:c r="H726" s="20" t="n">
        <x:f>E726-G726</x:f>
        <x:v>0</x:v>
      </x:c>
    </x:row>
    <x:row r="727">
      <x:c r="A727" t="str">
        <x:v>66448</x:v>
      </x:c>
      <x:c r="B727" s="17" t="n">
        <x:v>46113</x:v>
      </x:c>
      <x:c r="C727" t="str">
        <x:v>Одесская</x:v>
      </x:c>
      <x:c r="D727" s="14" t="n">
        <x:v>0</x:v>
      </x:c>
      <x:c r="E727" s="20" t="n">
        <x:v>0</x:v>
      </x:c>
      <x:c r="F727" s="20" t="n">
        <x:v>0</x:v>
      </x:c>
      <x:c r="G727" s="20" t="n">
        <x:v>0</x:v>
      </x:c>
      <x:c r="H727" s="20" t="n">
        <x:f>E727-G727</x:f>
        <x:v>0</x:v>
      </x:c>
    </x:row>
    <x:row r="728">
      <x:c r="A728" t="str">
        <x:v>66448</x:v>
      </x:c>
      <x:c r="B728" s="17" t="n">
        <x:v>46143</x:v>
      </x:c>
      <x:c r="C728" t="str">
        <x:v>Одесская</x:v>
      </x:c>
      <x:c r="D728" s="14" t="n">
        <x:v>0</x:v>
      </x:c>
      <x:c r="E728" s="20" t="n">
        <x:v>0</x:v>
      </x:c>
      <x:c r="F728" s="20" t="n">
        <x:v>159066754.5</x:v>
      </x:c>
      <x:c r="G728" s="20" t="n">
        <x:v>0</x:v>
      </x:c>
      <x:c r="H728" s="20" t="n">
        <x:f>E728-G728</x:f>
        <x:v>0</x:v>
      </x:c>
    </x:row>
    <x:row r="729">
      <x:c r="A729" t="str">
        <x:v>66448</x:v>
      </x:c>
      <x:c r="B729" s="17" t="n">
        <x:v>46174</x:v>
      </x:c>
      <x:c r="C729" t="str">
        <x:v>Одесская</x:v>
      </x:c>
      <x:c r="D729" s="14" t="n">
        <x:v>0</x:v>
      </x:c>
      <x:c r="E729" s="20" t="n">
        <x:v>0</x:v>
      </x:c>
      <x:c r="F729" s="20" t="n">
        <x:v>0</x:v>
      </x:c>
      <x:c r="G729" s="20" t="n">
        <x:v>0</x:v>
      </x:c>
      <x:c r="H729" s="20" t="n">
        <x:f>E729-G729</x:f>
        <x:v>0</x:v>
      </x:c>
    </x:row>
    <x:row r="730">
      <x:c r="A730" t="str">
        <x:v>66448</x:v>
      </x:c>
      <x:c r="B730" s="17" t="n">
        <x:v>46204</x:v>
      </x:c>
      <x:c r="C730" t="str">
        <x:v>Одесская</x:v>
      </x:c>
      <x:c r="D730" s="14" t="n">
        <x:v>0</x:v>
      </x:c>
      <x:c r="E730" s="20" t="n">
        <x:v>0</x:v>
      </x:c>
      <x:c r="F730" s="20" t="n">
        <x:v>0</x:v>
      </x:c>
      <x:c r="G730" s="20" t="n">
        <x:v>0</x:v>
      </x:c>
      <x:c r="H730" s="20" t="n">
        <x:f>E730-G730</x:f>
        <x:v>0</x:v>
      </x:c>
    </x:row>
    <x:row r="731">
      <x:c r="A731" t="str">
        <x:v>69317</x:v>
      </x:c>
      <x:c r="B731" s="17" t="n">
        <x:v>46174</x:v>
      </x:c>
      <x:c r="C731" t="str">
        <x:v>На Амурской</x:v>
      </x:c>
      <x:c r="D731" s="14" t="n">
        <x:v>538</x:v>
      </x:c>
      <x:c r="E731" s="20" t="n">
        <x:v>31148.2</x:v>
      </x:c>
      <x:c r="F731" s="20" t="n">
        <x:v>5784363139.67</x:v>
      </x:c>
      <x:c r="G731" s="20" t="n">
        <x:v>0</x:v>
      </x:c>
      <x:c r="H731" s="20" t="n">
        <x:f>E731-G731</x:f>
        <x:v>31148.2</x:v>
      </x:c>
    </x:row>
    <x:row r="732">
      <x:c r="A732" t="str">
        <x:v>69317</x:v>
      </x:c>
      <x:c r="B732" s="17" t="n">
        <x:v>46204</x:v>
      </x:c>
      <x:c r="C732" t="str">
        <x:v>На Амурской</x:v>
      </x:c>
      <x:c r="D732" s="14" t="n">
        <x:v>0</x:v>
      </x:c>
      <x:c r="E732" s="20" t="n">
        <x:v>0</x:v>
      </x:c>
      <x:c r="F732" s="20" t="n">
        <x:v>0</x:v>
      </x:c>
      <x:c r="G732" s="20" t="n">
        <x:v>0</x:v>
      </x:c>
      <x:c r="H732" s="20" t="n">
        <x:f>E732-G732</x:f>
        <x:v>0</x:v>
      </x:c>
    </x:row>
    <x:row r="733">
      <x:c r="A733" t="str">
        <x:v>69317</x:v>
      </x:c>
      <x:c r="B733" s="17" t="n">
        <x:v>46235</x:v>
      </x:c>
      <x:c r="C733" t="str">
        <x:v>На Амурской</x:v>
      </x:c>
      <x:c r="D733" s="14" t="n">
        <x:v>0</x:v>
      </x:c>
      <x:c r="E733" s="20" t="n">
        <x:v>0</x:v>
      </x:c>
      <x:c r="F733" s="20" t="n">
        <x:v>0</x:v>
      </x:c>
      <x:c r="G733" s="20" t="n">
        <x:v>0</x:v>
      </x:c>
      <x:c r="H733" s="20" t="n">
        <x:f>E733-G733</x:f>
        <x:v>0</x:v>
      </x:c>
    </x:row>
    <x:row r="734">
      <x:c r="A734" t="str">
        <x:v>69317</x:v>
      </x:c>
      <x:c r="B734" s="17" t="n">
        <x:v>46266</x:v>
      </x:c>
      <x:c r="C734" t="str">
        <x:v>На Амурской</x:v>
      </x:c>
      <x:c r="D734" s="14" t="n">
        <x:v>0</x:v>
      </x:c>
      <x:c r="E734" s="20" t="n">
        <x:v>0</x:v>
      </x:c>
      <x:c r="F734" s="20" t="n">
        <x:v>0</x:v>
      </x:c>
      <x:c r="G734" s="20" t="n">
        <x:v>0</x:v>
      </x:c>
      <x:c r="H734" s="20" t="n">
        <x:f>E734-G734</x:f>
        <x:v>0</x:v>
      </x:c>
    </x:row>
    <x:row r="735">
      <x:c r="A735" t="str">
        <x:v>70300</x:v>
      </x:c>
      <x:c r="B735" s="17" t="n">
        <x:v>46174</x:v>
      </x:c>
      <x:c r="C735" t="str">
        <x:v>На Амурской</x:v>
      </x:c>
      <x:c r="D735" s="14" t="n">
        <x:v>538</x:v>
      </x:c>
      <x:c r="E735" s="20" t="n">
        <x:v>32873.3</x:v>
      </x:c>
      <x:c r="F735" s="20" t="n">
        <x:v>6031100031.78</x:v>
      </x:c>
      <x:c r="G735" s="20" t="n">
        <x:v>0</x:v>
      </x:c>
      <x:c r="H735" s="20" t="n">
        <x:f>E735-G735</x:f>
        <x:v>32873.3</x:v>
      </x:c>
    </x:row>
    <x:row r="736">
      <x:c r="A736" t="str">
        <x:v>70300</x:v>
      </x:c>
      <x:c r="B736" s="17" t="n">
        <x:v>46204</x:v>
      </x:c>
      <x:c r="C736" t="str">
        <x:v>На Амурской</x:v>
      </x:c>
      <x:c r="D736" s="14" t="n">
        <x:v>0</x:v>
      </x:c>
      <x:c r="E736" s="20" t="n">
        <x:v>0</x:v>
      </x:c>
      <x:c r="F736" s="20" t="n">
        <x:v>0</x:v>
      </x:c>
      <x:c r="G736" s="20" t="n">
        <x:v>0</x:v>
      </x:c>
      <x:c r="H736" s="20" t="n">
        <x:f>E736-G736</x:f>
        <x:v>0</x:v>
      </x:c>
    </x:row>
    <x:row r="737">
      <x:c r="A737" t="str">
        <x:v>70300</x:v>
      </x:c>
      <x:c r="B737" s="17" t="n">
        <x:v>46235</x:v>
      </x:c>
      <x:c r="C737" t="str">
        <x:v>На Амурской</x:v>
      </x:c>
      <x:c r="D737" s="14" t="n">
        <x:v>0</x:v>
      </x:c>
      <x:c r="E737" s="20" t="n">
        <x:v>0</x:v>
      </x:c>
      <x:c r="F737" s="20" t="n">
        <x:v>0</x:v>
      </x:c>
      <x:c r="G737" s="20" t="n">
        <x:v>0</x:v>
      </x:c>
      <x:c r="H737" s="20" t="n">
        <x:f>E737-G737</x:f>
        <x:v>0</x:v>
      </x:c>
    </x:row>
    <x:row r="738">
      <x:c r="A738" t="str">
        <x:v>70300</x:v>
      </x:c>
      <x:c r="B738" s="17" t="n">
        <x:v>46266</x:v>
      </x:c>
      <x:c r="C738" t="str">
        <x:v>На Амурской</x:v>
      </x:c>
      <x:c r="D738" s="14" t="n">
        <x:v>0</x:v>
      </x:c>
      <x:c r="E738" s="20" t="n">
        <x:v>0</x:v>
      </x:c>
      <x:c r="F738" s="20" t="n">
        <x:v>0</x:v>
      </x:c>
      <x:c r="G738" s="20" t="n">
        <x:v>0</x:v>
      </x:c>
      <x:c r="H738" s="20" t="n">
        <x:f>E738-G738</x:f>
        <x:v>0</x:v>
      </x:c>
    </x:row>
    <x:row r="739">
      <x:c r="A739" t="str">
        <x:v>70368</x:v>
      </x:c>
      <x:c r="B739" s="17" t="n">
        <x:v>46174</x:v>
      </x:c>
      <x:c r="C739" t="str">
        <x:v>На Амурской</x:v>
      </x:c>
      <x:c r="D739" s="14" t="n">
        <x:v>135</x:v>
      </x:c>
      <x:c r="E739" s="20" t="n">
        <x:v>8387.05</x:v>
      </x:c>
      <x:c r="F739" s="20" t="n">
        <x:v>1725513712.85</x:v>
      </x:c>
      <x:c r="G739" s="20" t="n">
        <x:v>0</x:v>
      </x:c>
      <x:c r="H739" s="20" t="n">
        <x:f>E739-G739</x:f>
        <x:v>8387.05</x:v>
      </x:c>
    </x:row>
    <x:row r="740">
      <x:c r="A740" t="str">
        <x:v>70368</x:v>
      </x:c>
      <x:c r="B740" s="17" t="n">
        <x:v>46204</x:v>
      </x:c>
      <x:c r="C740" t="str">
        <x:v>На Амурской</x:v>
      </x:c>
      <x:c r="D740" s="14" t="n">
        <x:v>0</x:v>
      </x:c>
      <x:c r="E740" s="20" t="n">
        <x:v>0</x:v>
      </x:c>
      <x:c r="F740" s="20" t="n">
        <x:v>0</x:v>
      </x:c>
      <x:c r="G740" s="20" t="n">
        <x:v>0</x:v>
      </x:c>
      <x:c r="H740" s="20" t="n">
        <x:f>E740-G740</x:f>
        <x:v>0</x:v>
      </x:c>
    </x:row>
    <x:row r="741">
      <x:c r="A741" t="str">
        <x:v>70368</x:v>
      </x:c>
      <x:c r="B741" s="17" t="n">
        <x:v>46235</x:v>
      </x:c>
      <x:c r="C741" t="str">
        <x:v>На Амурской</x:v>
      </x:c>
      <x:c r="D741" s="14" t="n">
        <x:v>0</x:v>
      </x:c>
      <x:c r="E741" s="20" t="n">
        <x:v>0</x:v>
      </x:c>
      <x:c r="F741" s="20" t="n">
        <x:v>0</x:v>
      </x:c>
      <x:c r="G741" s="20" t="n">
        <x:v>0</x:v>
      </x:c>
      <x:c r="H741" s="20" t="n">
        <x:f>E741-G741</x:f>
        <x:v>0</x:v>
      </x:c>
    </x:row>
    <x:row r="742">
      <x:c r="A742" t="str">
        <x:v>70368</x:v>
      </x:c>
      <x:c r="B742" s="17" t="n">
        <x:v>46266</x:v>
      </x:c>
      <x:c r="C742" t="str">
        <x:v>На Амурской</x:v>
      </x:c>
      <x:c r="D742" s="14" t="n">
        <x:v>0</x:v>
      </x:c>
      <x:c r="E742" s="20" t="n">
        <x:v>0</x:v>
      </x:c>
      <x:c r="F742" s="20" t="n">
        <x:v>0</x:v>
      </x:c>
      <x:c r="G742" s="20" t="n">
        <x:v>0</x:v>
      </x:c>
      <x:c r="H742" s="20" t="n">
        <x:f>E742-G742</x:f>
        <x:v>0</x:v>
      </x:c>
    </x:row>
    <x:row r="743">
      <x:c r="A743" t="str">
        <x:v>71468</x:v>
      </x:c>
      <x:c r="B743" s="17" t="n">
        <x:v>46174</x:v>
      </x:c>
      <x:c r="C743" t="str">
        <x:v>На Прядильной</x:v>
      </x:c>
      <x:c r="D743" s="14" t="n">
        <x:v>126</x:v>
      </x:c>
      <x:c r="E743" s="20" t="n">
        <x:v>8079.2</x:v>
      </x:c>
      <x:c r="F743" s="20" t="n">
        <x:v>1751451618.44</x:v>
      </x:c>
      <x:c r="G743" s="20" t="n">
        <x:v>0</x:v>
      </x:c>
      <x:c r="H743" s="20" t="n">
        <x:f>E743-G743</x:f>
        <x:v>8079.2</x:v>
      </x:c>
    </x:row>
    <x:row r="744">
      <x:c r="A744" t="str">
        <x:v>71468</x:v>
      </x:c>
      <x:c r="B744" s="17" t="n">
        <x:v>46204</x:v>
      </x:c>
      <x:c r="C744" t="str">
        <x:v>На Прядильной</x:v>
      </x:c>
      <x:c r="D744" s="14" t="n">
        <x:v>0</x:v>
      </x:c>
      <x:c r="E744" s="20" t="n">
        <x:v>0</x:v>
      </x:c>
      <x:c r="F744" s="20" t="n">
        <x:v>0</x:v>
      </x:c>
      <x:c r="G744" s="20" t="n">
        <x:v>0</x:v>
      </x:c>
      <x:c r="H744" s="20" t="n">
        <x:f>E744-G744</x:f>
        <x:v>0</x:v>
      </x:c>
    </x:row>
    <x:row r="745">
      <x:c r="A745" t="str">
        <x:v>71468</x:v>
      </x:c>
      <x:c r="B745" s="17" t="n">
        <x:v>46235</x:v>
      </x:c>
      <x:c r="C745" t="str">
        <x:v>На Прядильной</x:v>
      </x:c>
      <x:c r="D745" s="14" t="n">
        <x:v>0</x:v>
      </x:c>
      <x:c r="E745" s="20" t="n">
        <x:v>0</x:v>
      </x:c>
      <x:c r="F745" s="20" t="n">
        <x:v>0</x:v>
      </x:c>
      <x:c r="G745" s="20" t="n">
        <x:v>0</x:v>
      </x:c>
      <x:c r="H745" s="20" t="n">
        <x:f>E745-G745</x:f>
        <x:v>0</x:v>
      </x:c>
    </x:row>
    <x:row r="746">
      <x:c r="A746" t="str">
        <x:v>71468</x:v>
      </x:c>
      <x:c r="B746" s="17" t="n">
        <x:v>46266</x:v>
      </x:c>
      <x:c r="C746" t="str">
        <x:v>На Прядильной</x:v>
      </x:c>
      <x:c r="D746" s="14" t="n">
        <x:v>0</x:v>
      </x:c>
      <x:c r="E746" s="20" t="n">
        <x:v>0</x:v>
      </x:c>
      <x:c r="F746" s="20" t="n">
        <x:v>0</x:v>
      </x:c>
      <x:c r="G746" s="20" t="n">
        <x:v>0</x:v>
      </x:c>
      <x:c r="H746" s="20" t="n">
        <x:f>E746-G746</x:f>
        <x:v>0</x:v>
      </x:c>
    </x:row>
    <x:row r="747">
      <x:c r="A747" t="str">
        <x:v>71480</x:v>
      </x:c>
      <x:c r="B747" s="17" t="n">
        <x:v>46174</x:v>
      </x:c>
      <x:c r="C747" t="str">
        <x:v>На Прядильной</x:v>
      </x:c>
      <x:c r="D747" s="14" t="n">
        <x:v>126</x:v>
      </x:c>
      <x:c r="E747" s="20" t="n">
        <x:v>7562.8</x:v>
      </x:c>
      <x:c r="F747" s="20" t="n">
        <x:v>1653801844.02</x:v>
      </x:c>
      <x:c r="G747" s="20" t="n">
        <x:v>0</x:v>
      </x:c>
      <x:c r="H747" s="20" t="n">
        <x:f>E747-G747</x:f>
        <x:v>7562.8</x:v>
      </x:c>
    </x:row>
    <x:row r="748">
      <x:c r="A748" t="str">
        <x:v>71480</x:v>
      </x:c>
      <x:c r="B748" s="17" t="n">
        <x:v>46204</x:v>
      </x:c>
      <x:c r="C748" t="str">
        <x:v>На Прядильной</x:v>
      </x:c>
      <x:c r="D748" s="14" t="n">
        <x:v>0</x:v>
      </x:c>
      <x:c r="E748" s="20" t="n">
        <x:v>0</x:v>
      </x:c>
      <x:c r="F748" s="20" t="n">
        <x:v>0</x:v>
      </x:c>
      <x:c r="G748" s="20" t="n">
        <x:v>0</x:v>
      </x:c>
      <x:c r="H748" s="20" t="n">
        <x:f>E748-G748</x:f>
        <x:v>0</x:v>
      </x:c>
    </x:row>
    <x:row r="749">
      <x:c r="A749" t="str">
        <x:v>71480</x:v>
      </x:c>
      <x:c r="B749" s="17" t="n">
        <x:v>46235</x:v>
      </x:c>
      <x:c r="C749" t="str">
        <x:v>На Прядильной</x:v>
      </x:c>
      <x:c r="D749" s="14" t="n">
        <x:v>0</x:v>
      </x:c>
      <x:c r="E749" s="20" t="n">
        <x:v>0</x:v>
      </x:c>
      <x:c r="F749" s="20" t="n">
        <x:v>0</x:v>
      </x:c>
      <x:c r="G749" s="20" t="n">
        <x:v>0</x:v>
      </x:c>
      <x:c r="H749" s="20" t="n">
        <x:f>E749-G749</x:f>
        <x:v>0</x:v>
      </x:c>
    </x:row>
    <x:row r="750">
      <x:c r="A750" t="str">
        <x:v>71480</x:v>
      </x:c>
      <x:c r="B750" s="17" t="n">
        <x:v>46266</x:v>
      </x:c>
      <x:c r="C750" t="str">
        <x:v>На Прядильной</x:v>
      </x:c>
      <x:c r="D750" s="14" t="n">
        <x:v>0</x:v>
      </x:c>
      <x:c r="E750" s="20" t="n">
        <x:v>0</x:v>
      </x:c>
      <x:c r="F750" s="20" t="n">
        <x:v>0</x:v>
      </x:c>
      <x:c r="G750" s="20" t="n">
        <x:v>0</x:v>
      </x:c>
      <x:c r="H750" s="20" t="n">
        <x:f>E750-G750</x:f>
        <x:v>0</x:v>
      </x:c>
    </x:row>
    <x:row r="751">
      <x:c r="A751" t="str">
        <x:v>72831</x:v>
      </x:c>
      <x:c r="B751" s="17" t="n">
        <x:v>46266</x:v>
      </x:c>
      <x:c r="C751" t="str">
        <x:v>1-й Боткинский, 7/72</x:v>
      </x:c>
      <x:c r="D751" s="14" t="n">
        <x:v>311</x:v>
      </x:c>
      <x:c r="E751" s="20" t="n">
        <x:v>20116.5</x:v>
      </x:c>
      <x:c r="F751" s="20" t="n">
        <x:v>3659191350</x:v>
      </x:c>
      <x:c r="G751" s="20" t="n">
        <x:v>0</x:v>
      </x:c>
      <x:c r="H751" s="20" t="n">
        <x:f>E751-G751</x:f>
        <x:v>20116.5</x:v>
      </x:c>
    </x:row>
    <x:row r="752">
      <x:c r="A752" t="str">
        <x:v>73038</x:v>
      </x:c>
      <x:c r="B752" s="17" t="n">
        <x:v>46266</x:v>
      </x:c>
      <x:c r="C752" t="str">
        <x:v>пр-кт Балаклавский вл.34А</x:v>
      </x:c>
      <x:c r="D752" s="14" t="n">
        <x:v>198</x:v>
      </x:c>
      <x:c r="E752" s="20" t="n">
        <x:v>12186.4</x:v>
      </x:c>
      <x:c r="F752" s="20" t="n">
        <x:v>2252579098.99</x:v>
      </x:c>
      <x:c r="G752" s="20" t="n">
        <x:v>0</x:v>
      </x:c>
      <x:c r="H752" s="20" t="n">
        <x:f>E752-G752</x:f>
        <x:v>12186.4</x:v>
      </x:c>
    </x:row>
  </x:sheetData>
  <x:pageMargins left="0.7" right="0.7" top="0.75" bottom="0.75" header="0.3" footer="0.3"/>
  <x:tableParts count="1">
    <x:tablePart xmlns:r="http://schemas.openxmlformats.org/officeDocument/2006/relationships" r:id="R6a489894a0434325"/>
  </x:tableParts>
</x:worksheet>
</file>